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Main Hub" sheetId="3" state="visible" r:id="rId3"/>
    <sheet xmlns:r="http://schemas.openxmlformats.org/officeDocument/2006/relationships" name="Admin &gt; Home" sheetId="4" state="visible" r:id="rId4"/>
    <sheet xmlns:r="http://schemas.openxmlformats.org/officeDocument/2006/relationships" name="Sales Tracking &gt; Leads" sheetId="5" state="visible" r:id="rId5"/>
    <sheet xmlns:r="http://schemas.openxmlformats.org/officeDocument/2006/relationships" name="Sales Tracking &gt; EOD Reports" sheetId="6" state="visible" r:id="rId6"/>
    <sheet xmlns:r="http://schemas.openxmlformats.org/officeDocument/2006/relationships" name="Sales Tracking &gt; Team" sheetId="7" state="visible" r:id="rId7"/>
    <sheet xmlns:r="http://schemas.openxmlformats.org/officeDocument/2006/relationships" name="Sales Tracking &gt; Team Calendars" sheetId="8" state="visible" r:id="rId8"/>
    <sheet xmlns:r="http://schemas.openxmlformats.org/officeDocument/2006/relationships" name="Sales Tracking &gt; Hiring" sheetId="9" state="visible" r:id="rId9"/>
    <sheet xmlns:r="http://schemas.openxmlformats.org/officeDocument/2006/relationships" name="Sales Tracking &gt; Attribution" sheetId="10" state="visible" r:id="rId10"/>
    <sheet xmlns:r="http://schemas.openxmlformats.org/officeDocument/2006/relationships" name="Sales Tracking &gt; Traffic" sheetId="11" state="visible" r:id="rId11"/>
    <sheet xmlns:r="http://schemas.openxmlformats.org/officeDocument/2006/relationships" name="DM Setter" sheetId="12" state="visible" r:id="rId12"/>
    <sheet xmlns:r="http://schemas.openxmlformats.org/officeDocument/2006/relationships" name="Inbound Dialer" sheetId="13" state="visible" r:id="rId13"/>
    <sheet xmlns:r="http://schemas.openxmlformats.org/officeDocument/2006/relationships" name="Sales Tracking &gt; Reps &gt; Closer" sheetId="14" state="visible" r:id="rId14"/>
    <sheet xmlns:r="http://schemas.openxmlformats.org/officeDocument/2006/relationships" name="ContentOS &gt; Content" sheetId="15" state="visible" r:id="rId15"/>
    <sheet xmlns:r="http://schemas.openxmlformats.org/officeDocument/2006/relationships" name="ContentOS &gt; Content Calendar" sheetId="16" state="visible" r:id="rId16"/>
    <sheet xmlns:r="http://schemas.openxmlformats.org/officeDocument/2006/relationships" name="ContentOS &gt; Sequences" sheetId="17" state="visible" r:id="rId17"/>
    <sheet xmlns:r="http://schemas.openxmlformats.org/officeDocument/2006/relationships" name="CopyOS &gt; Client DNA" sheetId="18" state="visible" r:id="rId18"/>
    <sheet xmlns:r="http://schemas.openxmlformats.org/officeDocument/2006/relationships" name="Fulfillment &gt; Onboarding" sheetId="19" state="visible" r:id="rId19"/>
    <sheet xmlns:r="http://schemas.openxmlformats.org/officeDocument/2006/relationships" name="Fulfillment" sheetId="20" state="visible" r:id="rId20"/>
    <sheet xmlns:r="http://schemas.openxmlformats.org/officeDocument/2006/relationships" name="Fulfillment &gt; Payments" sheetId="21" state="visible" r:id="rId21"/>
    <sheet xmlns:r="http://schemas.openxmlformats.org/officeDocument/2006/relationships" name="Fulfillment &gt; VSL Analytics" sheetId="22" state="visible" r:id="rId22"/>
    <sheet xmlns:r="http://schemas.openxmlformats.org/officeDocument/2006/relationships" name="Ops &gt; Webinar Analytics" sheetId="23" state="visible" r:id="rId23"/>
  </sheets>
  <definedNames>
    <definedName name="_xlnm._FilterDatabase" localSheetId="2" hidden="1">'Main Hub'!$A$4:$I$111</definedName>
    <definedName name="_xlnm._FilterDatabase" localSheetId="3" hidden="1">'Admin &gt; Home'!$A$4:$I$52</definedName>
    <definedName name="_xlnm._FilterDatabase" localSheetId="4" hidden="1">'Sales Tracking &gt; Leads'!$A$4:$I$61</definedName>
    <definedName name="_xlnm._FilterDatabase" localSheetId="5" hidden="1">'Sales Tracking &gt; EOD Reports'!$A$4:$I$43</definedName>
    <definedName name="_xlnm._FilterDatabase" localSheetId="6" hidden="1">'Sales Tracking &gt; Team'!$A$4:$I$36</definedName>
    <definedName name="_xlnm._FilterDatabase" localSheetId="7" hidden="1">'Sales Tracking &gt; Team Calendars'!$A$4:$I$22</definedName>
    <definedName name="_xlnm._FilterDatabase" localSheetId="8" hidden="1">'Sales Tracking &gt; Hiring'!$A$4:$I$28</definedName>
    <definedName name="_xlnm._FilterDatabase" localSheetId="9" hidden="1">'Sales Tracking &gt; Attribution'!$A$4:$I$47</definedName>
    <definedName name="_xlnm._FilterDatabase" localSheetId="10" hidden="1">'Sales Tracking &gt; Traffic'!$A$4:$I$35</definedName>
    <definedName name="_xlnm._FilterDatabase" localSheetId="11" hidden="1">'DM Setter'!$A$4:$I$67</definedName>
    <definedName name="_xlnm._FilterDatabase" localSheetId="12" hidden="1">'Inbound Dialer'!$A$4:$I$70</definedName>
    <definedName name="_xlnm._FilterDatabase" localSheetId="13" hidden="1">'Sales Tracking &gt; Reps &gt; Closer'!$A$4:$I$93</definedName>
    <definedName name="_xlnm._FilterDatabase" localSheetId="14" hidden="1">'ContentOS &gt; Content'!$A$4:$I$117</definedName>
    <definedName name="_xlnm._FilterDatabase" localSheetId="15" hidden="1">'ContentOS &gt; Content Calendar'!$A$4:$I$24</definedName>
    <definedName name="_xlnm._FilterDatabase" localSheetId="16" hidden="1">'ContentOS &gt; Sequences'!$A$4:$I$16</definedName>
    <definedName name="_xlnm._FilterDatabase" localSheetId="17" hidden="1">'CopyOS &gt; Client DNA'!$A$4:$I$33</definedName>
    <definedName name="_xlnm._FilterDatabase" localSheetId="18" hidden="1">'Fulfillment &gt; Onboarding'!$A$4:$I$59</definedName>
    <definedName name="_xlnm._FilterDatabase" localSheetId="19" hidden="1">'Fulfillment'!$A$4:$I$30</definedName>
    <definedName name="_xlnm._FilterDatabase" localSheetId="20" hidden="1">'Fulfillment &gt; Payments'!$A$4:$I$111</definedName>
    <definedName name="_xlnm._FilterDatabase" localSheetId="21" hidden="1">'Fulfillment &gt; VSL Analytics'!$A$4:$I$23</definedName>
    <definedName name="_xlnm._FilterDatabase" localSheetId="22" hidden="1">'Ops &gt; Webinar Analytics'!$A$4:$I$81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20">
    <font>
      <name val="Calibri"/>
      <family val="2"/>
      <color theme="1"/>
      <sz val="11"/>
      <scheme val="minor"/>
    </font>
    <font>
      <name val="Inter"/>
      <b val="1"/>
      <color rgb="001A1A1E"/>
      <sz val="22"/>
    </font>
    <font>
      <name val="Inter"/>
      <color rgb="006B6B75"/>
      <sz val="11"/>
    </font>
    <font>
      <name val="Inter"/>
      <b val="1"/>
      <color rgb="003B5BDB"/>
      <sz val="10"/>
    </font>
    <font>
      <name val="Inter"/>
      <color rgb="001A1A1E"/>
      <sz val="10"/>
    </font>
    <font>
      <name val="Inter"/>
      <color rgb="006B6B75"/>
      <sz val="10"/>
    </font>
    <font>
      <name val="Inter"/>
      <i val="1"/>
      <color rgb="006B6B75"/>
      <sz val="9"/>
    </font>
    <font>
      <name val="Inter"/>
      <b val="1"/>
      <color rgb="001A1A1E"/>
      <sz val="15"/>
    </font>
    <font>
      <name val="Inter"/>
      <color rgb="006B6B75"/>
      <sz val="9"/>
    </font>
    <font>
      <name val="Inter"/>
      <b val="1"/>
      <color rgb="00FFFFFF"/>
      <sz val="9"/>
    </font>
    <font>
      <name val="Inter"/>
      <b val="1"/>
      <color rgb="001A1A1E"/>
      <sz val="9"/>
    </font>
    <font>
      <name val="Inter"/>
      <b val="1"/>
      <color rgb="001A1A1E"/>
      <sz val="10"/>
    </font>
    <font>
      <name val="Inter"/>
      <color rgb="001A1A1E"/>
      <sz val="9"/>
    </font>
    <font>
      <name val="Inter"/>
      <b val="1"/>
      <color rgb="001E6B3A"/>
      <sz val="9"/>
    </font>
    <font>
      <name val="Inter"/>
      <color rgb="006B6B75"/>
      <sz val="8"/>
    </font>
    <font>
      <name val="Inter"/>
      <b val="1"/>
      <color rgb="006B6B75"/>
      <sz val="9"/>
    </font>
    <font>
      <name val="Inter"/>
      <b val="1"/>
      <color rgb="008A5A00"/>
      <sz val="9"/>
    </font>
    <font>
      <name val="Inter"/>
      <b val="1"/>
      <color rgb="009A3412"/>
      <sz val="9"/>
    </font>
    <font>
      <name val="Inter"/>
      <b val="1"/>
      <color rgb="001A1A1E"/>
      <sz val="18"/>
    </font>
    <font>
      <name val="Inter"/>
      <color rgb="003B5BDB"/>
      <sz val="10"/>
    </font>
  </fonts>
  <fills count="12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E8F4EC"/>
      </patternFill>
    </fill>
    <fill>
      <patternFill patternType="solid">
        <fgColor rgb="00F6F6F8"/>
      </patternFill>
    </fill>
    <fill>
      <patternFill patternType="solid">
        <fgColor rgb="001A1A1E"/>
      </patternFill>
    </fill>
    <fill>
      <patternFill patternType="solid">
        <fgColor rgb="00E8EAF2"/>
      </patternFill>
    </fill>
    <fill>
      <patternFill patternType="solid">
        <fgColor rgb="00FFFFFF"/>
      </patternFill>
    </fill>
    <fill>
      <patternFill patternType="solid">
        <fgColor rgb="00E3F2E8"/>
      </patternFill>
    </fill>
    <fill>
      <patternFill patternType="solid">
        <fgColor rgb="00EFEFF2"/>
      </patternFill>
    </fill>
    <fill>
      <patternFill patternType="solid">
        <fgColor rgb="00FDF1DC"/>
      </patternFill>
    </fill>
    <fill>
      <patternFill patternType="solid">
        <fgColor rgb="00FCE9E2"/>
      </patternFill>
    </fill>
  </fills>
  <borders count="4">
    <border>
      <left/>
      <right/>
      <top/>
      <bottom/>
      <diagonal/>
    </border>
    <border>
      <left style="thin">
        <color rgb="00E8C766"/>
      </left>
      <right style="thin">
        <color rgb="00E8C766"/>
      </right>
      <top style="thin">
        <color rgb="00E8C766"/>
      </top>
      <bottom style="thin">
        <color rgb="00E8C766"/>
      </bottom>
    </border>
    <border>
      <left style="thin">
        <color rgb="008FBFA3"/>
      </left>
      <right style="thin">
        <color rgb="008FBFA3"/>
      </right>
      <top style="thin">
        <color rgb="008FBFA3"/>
      </top>
      <bottom style="thin">
        <color rgb="008FBFA3"/>
      </bottom>
    </border>
    <border>
      <left style="thin">
        <color rgb="00D8D8DE"/>
      </left>
      <right style="thin">
        <color rgb="00D8D8DE"/>
      </right>
      <top style="thin">
        <color rgb="00D8D8DE"/>
      </top>
      <bottom style="thin">
        <color rgb="00D8D8D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0" fillId="3" borderId="2" pivotButton="0" quotePrefix="0" xfId="0"/>
    <xf numFmtId="0" fontId="0" fillId="4" borderId="3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8" fillId="0" borderId="0" pivotButton="0" quotePrefix="0" xfId="0"/>
    <xf numFmtId="0" fontId="5" fillId="0" borderId="0" pivotButton="0" quotePrefix="0" xfId="0"/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right" vertical="center"/>
    </xf>
    <xf numFmtId="0" fontId="19" fillId="7" borderId="3" pivotButton="0" quotePrefix="0" xfId="0"/>
    <xf numFmtId="0" fontId="4" fillId="7" borderId="3" applyAlignment="1" pivotButton="0" quotePrefix="0" xfId="0">
      <alignment horizontal="right"/>
    </xf>
    <xf numFmtId="0" fontId="19" fillId="4" borderId="3" pivotButton="0" quotePrefix="0" xfId="0"/>
    <xf numFmtId="0" fontId="4" fillId="4" borderId="3" applyAlignment="1" pivotButton="0" quotePrefix="0" xfId="0">
      <alignment horizontal="right"/>
    </xf>
    <xf numFmtId="0" fontId="5" fillId="4" borderId="3" applyAlignment="1" pivotButton="0" quotePrefix="0" xfId="0">
      <alignment horizontal="right"/>
    </xf>
    <xf numFmtId="0" fontId="5" fillId="7" borderId="3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10" fillId="6" borderId="0" applyAlignment="1" pivotButton="0" quotePrefix="0" xfId="0">
      <alignment vertical="center" indent="1"/>
    </xf>
    <xf numFmtId="0" fontId="11" fillId="7" borderId="3" applyAlignment="1" pivotButton="0" quotePrefix="0" xfId="0">
      <alignment vertical="top" wrapText="1"/>
    </xf>
    <xf numFmtId="0" fontId="8" fillId="7" borderId="3" applyAlignment="1" pivotButton="0" quotePrefix="0" xfId="0">
      <alignment horizontal="right" vertical="top"/>
    </xf>
    <xf numFmtId="0" fontId="12" fillId="7" borderId="3" applyAlignment="1" pivotButton="0" quotePrefix="0" xfId="0">
      <alignment vertical="top"/>
    </xf>
    <xf numFmtId="0" fontId="8" fillId="7" borderId="3" applyAlignment="1" pivotButton="0" quotePrefix="0" xfId="0">
      <alignment vertical="top" wrapText="1"/>
    </xf>
    <xf numFmtId="0" fontId="13" fillId="8" borderId="3" applyAlignment="1" pivotButton="0" quotePrefix="0" xfId="0">
      <alignment vertical="top"/>
    </xf>
    <xf numFmtId="0" fontId="14" fillId="7" borderId="3" applyAlignment="1" pivotButton="0" quotePrefix="0" xfId="0">
      <alignment vertical="top"/>
    </xf>
    <xf numFmtId="0" fontId="11" fillId="4" borderId="3" applyAlignment="1" pivotButton="0" quotePrefix="0" xfId="0">
      <alignment vertical="top" wrapText="1"/>
    </xf>
    <xf numFmtId="0" fontId="8" fillId="4" borderId="3" applyAlignment="1" pivotButton="0" quotePrefix="0" xfId="0">
      <alignment horizontal="right" vertical="top"/>
    </xf>
    <xf numFmtId="0" fontId="12" fillId="4" borderId="3" applyAlignment="1" pivotButton="0" quotePrefix="0" xfId="0">
      <alignment vertical="top"/>
    </xf>
    <xf numFmtId="0" fontId="8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/>
    </xf>
    <xf numFmtId="164" fontId="12" fillId="2" borderId="1" applyAlignment="1" pivotButton="0" quotePrefix="0" xfId="0">
      <alignment horizontal="right" vertical="top"/>
    </xf>
    <xf numFmtId="165" fontId="11" fillId="3" borderId="2" applyAlignment="1" pivotButton="0" quotePrefix="0" xfId="0">
      <alignment horizontal="right" vertical="top"/>
    </xf>
    <xf numFmtId="0" fontId="15" fillId="9" borderId="3" applyAlignment="1" pivotButton="0" quotePrefix="0" xfId="0">
      <alignment vertical="top"/>
    </xf>
    <xf numFmtId="3" fontId="12" fillId="2" borderId="1" applyAlignment="1" pivotButton="0" quotePrefix="0" xfId="0">
      <alignment horizontal="right" vertical="top"/>
    </xf>
    <xf numFmtId="0" fontId="16" fillId="10" borderId="3" applyAlignment="1" pivotButton="0" quotePrefix="0" xfId="0">
      <alignment vertical="top"/>
    </xf>
    <xf numFmtId="165" fontId="12" fillId="2" borderId="1" applyAlignment="1" pivotButton="0" quotePrefix="0" xfId="0">
      <alignment horizontal="right" vertical="top"/>
    </xf>
    <xf numFmtId="0" fontId="17" fillId="11" borderId="3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Main Hub'!A1" TargetMode="External" Id="rId1"/><Relationship Type="http://schemas.openxmlformats.org/officeDocument/2006/relationships/hyperlink" Target="#'Admin &gt; Home'!A1" TargetMode="External" Id="rId2"/><Relationship Type="http://schemas.openxmlformats.org/officeDocument/2006/relationships/hyperlink" Target="#'Sales Tracking &gt; Leads'!A1" TargetMode="External" Id="rId3"/><Relationship Type="http://schemas.openxmlformats.org/officeDocument/2006/relationships/hyperlink" Target="#'Sales Tracking &gt; EOD Reports'!A1" TargetMode="External" Id="rId4"/><Relationship Type="http://schemas.openxmlformats.org/officeDocument/2006/relationships/hyperlink" Target="#'Sales Tracking &gt; Team'!A1" TargetMode="External" Id="rId5"/><Relationship Type="http://schemas.openxmlformats.org/officeDocument/2006/relationships/hyperlink" Target="#'Sales Tracking &gt; Team Calendars'!A1" TargetMode="External" Id="rId6"/><Relationship Type="http://schemas.openxmlformats.org/officeDocument/2006/relationships/hyperlink" Target="#'Sales Tracking &gt; Hiring'!A1" TargetMode="External" Id="rId7"/><Relationship Type="http://schemas.openxmlformats.org/officeDocument/2006/relationships/hyperlink" Target="#'Sales Tracking &gt; Attribution'!A1" TargetMode="External" Id="rId8"/><Relationship Type="http://schemas.openxmlformats.org/officeDocument/2006/relationships/hyperlink" Target="#'Sales Tracking &gt; Traffic'!A1" TargetMode="External" Id="rId9"/><Relationship Type="http://schemas.openxmlformats.org/officeDocument/2006/relationships/hyperlink" Target="#'DM Setter'!A1" TargetMode="External" Id="rId10"/><Relationship Type="http://schemas.openxmlformats.org/officeDocument/2006/relationships/hyperlink" Target="#'Inbound Dialer'!A1" TargetMode="External" Id="rId11"/><Relationship Type="http://schemas.openxmlformats.org/officeDocument/2006/relationships/hyperlink" Target="#'Sales Tracking &gt; Reps &gt; Closer'!A1" TargetMode="External" Id="rId12"/><Relationship Type="http://schemas.openxmlformats.org/officeDocument/2006/relationships/hyperlink" Target="#'ContentOS &gt; Content'!A1" TargetMode="External" Id="rId13"/><Relationship Type="http://schemas.openxmlformats.org/officeDocument/2006/relationships/hyperlink" Target="#'ContentOS &gt; Content Calendar'!A1" TargetMode="External" Id="rId14"/><Relationship Type="http://schemas.openxmlformats.org/officeDocument/2006/relationships/hyperlink" Target="#'ContentOS &gt; Sequences'!A1" TargetMode="External" Id="rId15"/><Relationship Type="http://schemas.openxmlformats.org/officeDocument/2006/relationships/hyperlink" Target="#'CopyOS &gt; Client DNA'!A1" TargetMode="External" Id="rId16"/><Relationship Type="http://schemas.openxmlformats.org/officeDocument/2006/relationships/hyperlink" Target="#'Fulfillment &gt; Onboarding'!A1" TargetMode="External" Id="rId17"/><Relationship Type="http://schemas.openxmlformats.org/officeDocument/2006/relationships/hyperlink" Target="#'Fulfillment'!A1" TargetMode="External" Id="rId18"/><Relationship Type="http://schemas.openxmlformats.org/officeDocument/2006/relationships/hyperlink" Target="#'Fulfillment &gt; Payments'!A1" TargetMode="External" Id="rId19"/><Relationship Type="http://schemas.openxmlformats.org/officeDocument/2006/relationships/hyperlink" Target="#'Fulfillment &gt; VSL Analytics'!A1" TargetMode="External" Id="rId20"/><Relationship Type="http://schemas.openxmlformats.org/officeDocument/2006/relationships/hyperlink" Target="#'Ops &gt; Webinar Analytics'!A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0" customHeight="1">
      <c r="B2" s="1" t="inlineStr">
        <is>
          <t>AscendOS — Metrics Workbook</t>
        </is>
      </c>
    </row>
    <row r="3"/>
    <row r="4" ht="32" customHeight="1">
      <c r="B4" s="2" t="inlineStr">
        <is>
          <t>Every metric in AscendOS, laid out the way the product is laid out: one tab per page, grouped by the section it appears in.</t>
        </is>
      </c>
    </row>
    <row r="6">
      <c r="B6" s="3" t="inlineStr">
        <is>
          <t>THE THREE CELL TYPES</t>
        </is>
      </c>
    </row>
    <row r="7" ht="28" customHeight="1">
      <c r="A7" s="4" t="inlineStr"/>
      <c r="B7" s="5" t="inlineStr">
        <is>
          <t>Input — Empty, shaded yellow. This is the placeholder slot — point Typeform / Zapier / n8n at it. Raw counts and money figures live here.</t>
        </is>
      </c>
    </row>
    <row r="8" ht="28" customHeight="1">
      <c r="A8" s="6" t="inlineStr"/>
      <c r="B8" s="5" t="inlineStr">
        <is>
          <t>Calculated — Shaded green, already contains a working formula that reads the input cells above it. Fill the inputs and the rate computes itself.</t>
        </is>
      </c>
    </row>
    <row r="9" ht="28" customHeight="1">
      <c r="A9" s="7" t="inlineStr"/>
      <c r="B9" s="5" t="inlineStr">
        <is>
          <t>Reference — Unshaded. Definition, source, and status — what the metric means and where AscendOS gets it.</t>
        </is>
      </c>
    </row>
    <row r="11">
      <c r="B11" s="3" t="inlineStr">
        <is>
          <t>WHY SOME RATES ARE INPUTS AND NOT FORMULAS</t>
        </is>
      </c>
    </row>
    <row r="12" ht="56" customHeight="1">
      <c r="B12" s="8" t="inlineStr">
        <is>
          <t>A rate is only wired up when both of its inputs exist as metrics on the same tab. Where AscendOS computes a rate from database columns that aren't themselves metrics on that page, the cell is left as an input rather than guessing at a formula that would quietly be wrong. The Formula column always shows the real definition either way.</t>
        </is>
      </c>
    </row>
    <row r="14">
      <c r="B14" s="3" t="inlineStr">
        <is>
          <t>STATUS COLUMN</t>
        </is>
      </c>
    </row>
    <row r="15" ht="28" customHeight="1">
      <c r="B15" s="8" t="inlineStr">
        <is>
          <t>LIVE — running on real data today.    PARTIALLY CONNECTED — real, with a known gap.    NEEDS INTEGRATION — waiting on an external source.    NOT AVAILABLE / PLACEHOLDER — not wired up.</t>
        </is>
      </c>
    </row>
    <row r="17" ht="28" customHeight="1">
      <c r="B17" s="9" t="inlineStr">
        <is>
          <t>Generated from docs/ascendos-metric-dictionary-audit-detail.csv — the 834-metric audit. Regenerate from that file rather than editing definitions by hand here.</t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8" customWidth="1" min="4" max="4"/>
  </cols>
  <sheetData>
    <row r="2">
      <c r="B2" s="10" t="inlineStr">
        <is>
          <t>Index</t>
        </is>
      </c>
    </row>
    <row r="3">
      <c r="B3" s="11" t="inlineStr">
        <is>
          <t>834 metrics across 21 pages</t>
        </is>
      </c>
    </row>
    <row r="5" ht="22" customHeight="1">
      <c r="B5" s="12" t="inlineStr">
        <is>
          <t>Page</t>
        </is>
      </c>
      <c r="C5" s="13" t="inlineStr">
        <is>
          <t>Metrics</t>
        </is>
      </c>
      <c r="D5" s="13" t="inlineStr">
        <is>
          <t>Live formulas</t>
        </is>
      </c>
    </row>
    <row r="6">
      <c r="B6" s="14" t="inlineStr">
        <is>
          <t>Main Hub</t>
        </is>
      </c>
      <c r="C6" s="15" t="n">
        <v>78</v>
      </c>
      <c r="D6" s="15" t="n">
        <v>6</v>
      </c>
    </row>
    <row r="7">
      <c r="B7" s="16" t="inlineStr">
        <is>
          <t>Admin &gt; Home</t>
        </is>
      </c>
      <c r="C7" s="17" t="n">
        <v>37</v>
      </c>
      <c r="D7" s="18" t="inlineStr">
        <is>
          <t>—</t>
        </is>
      </c>
    </row>
    <row r="8">
      <c r="B8" s="14" t="inlineStr">
        <is>
          <t>Sales Tracking &gt; Leads</t>
        </is>
      </c>
      <c r="C8" s="15" t="n">
        <v>46</v>
      </c>
      <c r="D8" s="19" t="inlineStr">
        <is>
          <t>—</t>
        </is>
      </c>
    </row>
    <row r="9">
      <c r="B9" s="16" t="inlineStr">
        <is>
          <t>Sales Tracking &gt; EOD Reports</t>
        </is>
      </c>
      <c r="C9" s="17" t="n">
        <v>34</v>
      </c>
      <c r="D9" s="18" t="inlineStr">
        <is>
          <t>—</t>
        </is>
      </c>
    </row>
    <row r="10">
      <c r="B10" s="14" t="inlineStr">
        <is>
          <t>Sales Tracking &gt; Team</t>
        </is>
      </c>
      <c r="C10" s="15" t="n">
        <v>23</v>
      </c>
      <c r="D10" s="19" t="inlineStr">
        <is>
          <t>—</t>
        </is>
      </c>
    </row>
    <row r="11">
      <c r="B11" s="16" t="inlineStr">
        <is>
          <t>Sales Tracking &gt; Team Calendars</t>
        </is>
      </c>
      <c r="C11" s="17" t="n">
        <v>13</v>
      </c>
      <c r="D11" s="18" t="inlineStr">
        <is>
          <t>—</t>
        </is>
      </c>
    </row>
    <row r="12">
      <c r="B12" s="14" t="inlineStr">
        <is>
          <t>Sales Tracking &gt; Hiring</t>
        </is>
      </c>
      <c r="C12" s="15" t="n">
        <v>17</v>
      </c>
      <c r="D12" s="19" t="inlineStr">
        <is>
          <t>—</t>
        </is>
      </c>
    </row>
    <row r="13">
      <c r="B13" s="16" t="inlineStr">
        <is>
          <t>Sales Tracking &gt; Attribution</t>
        </is>
      </c>
      <c r="C13" s="17" t="n">
        <v>34</v>
      </c>
      <c r="D13" s="17" t="n">
        <v>1</v>
      </c>
    </row>
    <row r="14">
      <c r="B14" s="14" t="inlineStr">
        <is>
          <t>Sales Tracking &gt; Traffic</t>
        </is>
      </c>
      <c r="C14" s="15" t="n">
        <v>22</v>
      </c>
      <c r="D14" s="19" t="inlineStr">
        <is>
          <t>—</t>
        </is>
      </c>
    </row>
    <row r="15">
      <c r="B15" s="16" t="inlineStr">
        <is>
          <t>Sales Tracking &gt; Reps &gt; DM Setter</t>
        </is>
      </c>
      <c r="C15" s="17" t="n">
        <v>46</v>
      </c>
      <c r="D15" s="17" t="n">
        <v>6</v>
      </c>
    </row>
    <row r="16">
      <c r="B16" s="14" t="inlineStr">
        <is>
          <t>Sales Tracking &gt; Reps &gt; Inbound Dialer</t>
        </is>
      </c>
      <c r="C16" s="15" t="n">
        <v>53</v>
      </c>
      <c r="D16" s="15" t="n">
        <v>11</v>
      </c>
    </row>
    <row r="17">
      <c r="B17" s="16" t="inlineStr">
        <is>
          <t>Sales Tracking &gt; Reps &gt; Closer</t>
        </is>
      </c>
      <c r="C17" s="17" t="n">
        <v>72</v>
      </c>
      <c r="D17" s="17" t="n">
        <v>7</v>
      </c>
    </row>
    <row r="18">
      <c r="B18" s="14" t="inlineStr">
        <is>
          <t>ContentOS &gt; Content</t>
        </is>
      </c>
      <c r="C18" s="15" t="n">
        <v>92</v>
      </c>
      <c r="D18" s="19" t="inlineStr">
        <is>
          <t>—</t>
        </is>
      </c>
    </row>
    <row r="19">
      <c r="B19" s="16" t="inlineStr">
        <is>
          <t>ContentOS &gt; Content Calendar</t>
        </is>
      </c>
      <c r="C19" s="17" t="n">
        <v>15</v>
      </c>
      <c r="D19" s="18" t="inlineStr">
        <is>
          <t>—</t>
        </is>
      </c>
    </row>
    <row r="20">
      <c r="B20" s="14" t="inlineStr">
        <is>
          <t>ContentOS &gt; Sequences</t>
        </is>
      </c>
      <c r="C20" s="15" t="n">
        <v>9</v>
      </c>
      <c r="D20" s="19" t="inlineStr">
        <is>
          <t>—</t>
        </is>
      </c>
    </row>
    <row r="21">
      <c r="B21" s="16" t="inlineStr">
        <is>
          <t>CopyOS &gt; Client DNA</t>
        </is>
      </c>
      <c r="C21" s="17" t="n">
        <v>24</v>
      </c>
      <c r="D21" s="18" t="inlineStr">
        <is>
          <t>—</t>
        </is>
      </c>
    </row>
    <row r="22">
      <c r="B22" s="14" t="inlineStr">
        <is>
          <t>Fulfillment &gt; Onboarding</t>
        </is>
      </c>
      <c r="C22" s="15" t="n">
        <v>46</v>
      </c>
      <c r="D22" s="19" t="inlineStr">
        <is>
          <t>—</t>
        </is>
      </c>
    </row>
    <row r="23">
      <c r="B23" s="16" t="inlineStr">
        <is>
          <t>Fulfillment</t>
        </is>
      </c>
      <c r="C23" s="17" t="n">
        <v>21</v>
      </c>
      <c r="D23" s="18" t="inlineStr">
        <is>
          <t>—</t>
        </is>
      </c>
    </row>
    <row r="24">
      <c r="B24" s="14" t="inlineStr">
        <is>
          <t>Fulfillment &gt; Payments</t>
        </is>
      </c>
      <c r="C24" s="15" t="n">
        <v>80</v>
      </c>
      <c r="D24" s="19" t="inlineStr">
        <is>
          <t>—</t>
        </is>
      </c>
    </row>
    <row r="25">
      <c r="B25" s="16" t="inlineStr">
        <is>
          <t>Fulfillment &gt; VSL Analytics</t>
        </is>
      </c>
      <c r="C25" s="17" t="n">
        <v>12</v>
      </c>
      <c r="D25" s="18" t="inlineStr">
        <is>
          <t>—</t>
        </is>
      </c>
    </row>
    <row r="26">
      <c r="B26" s="14" t="inlineStr">
        <is>
          <t>Ops &gt; Webinar Analytics</t>
        </is>
      </c>
      <c r="C26" s="15" t="n">
        <v>60</v>
      </c>
      <c r="D26" s="19" t="inlineStr">
        <is>
          <t>—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Main Hub</t>
        </is>
      </c>
    </row>
    <row r="2">
      <c r="A2" s="21" t="inlineStr">
        <is>
          <t>78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FILTERS BAR</t>
        </is>
      </c>
    </row>
    <row r="6" ht="30" customHeight="1">
      <c r="A6" s="23" t="inlineStr">
        <is>
          <t>Social Platform</t>
        </is>
      </c>
      <c r="B6" s="24" t="inlineStr">
        <is>
          <t>n/a</t>
        </is>
      </c>
      <c r="C6" s="25" t="inlineStr">
        <is>
          <t>count (enum of values)</t>
        </is>
      </c>
      <c r="D6" s="25" t="inlineStr">
        <is>
          <t>DIMENSION</t>
        </is>
      </c>
      <c r="E6" s="26" t="inlineStr">
        <is>
          <t>n/a - dimension filter not a metric</t>
        </is>
      </c>
      <c r="F6" s="26" t="inlineStr">
        <is>
          <t>static enum SOCIAL_PLATFORMS in src/lib/social-platform.ts:1-13; applied as a real client-side filter against leads.source_platform/source_campaign and calls.source_platform/source_campaign via normalizeSocialPlatform() (src/routes/_authenticated.dashboard.tsx:363-368)</t>
        </is>
      </c>
      <c r="G6" s="26" t="inlineStr">
        <is>
          <t>selected date range via DateRangeProvider</t>
        </is>
      </c>
      <c r="H6" s="27" t="inlineStr">
        <is>
          <t>LIVE</t>
        </is>
      </c>
      <c r="I6" s="28" t="inlineStr">
        <is>
          <t>MAIN-0001</t>
        </is>
      </c>
    </row>
    <row r="7" ht="30" customHeight="1">
      <c r="A7" s="29" t="inlineStr">
        <is>
          <t>Acquisition Source</t>
        </is>
      </c>
      <c r="B7" s="30" t="inlineStr">
        <is>
          <t>n/a</t>
        </is>
      </c>
      <c r="C7" s="31" t="inlineStr">
        <is>
          <t>count (enum of values)</t>
        </is>
      </c>
      <c r="D7" s="31" t="inlineStr">
        <is>
          <t>DIMENSION</t>
        </is>
      </c>
      <c r="E7" s="32" t="inlineStr">
        <is>
          <t>n/a - dimension filter</t>
        </is>
      </c>
      <c r="F7" s="32" t="inlineStr">
        <is>
          <t>static enum ACQUISITION_SOURCES in src/lib/acquisition-source.ts:15-27; applied via acquisitionSourceMatches() against leads/calls.source_platform (dashboard.tsx:372-391; comment at 378-386 explains this uses source_platform not source_campaign after a prior bugfix)</t>
        </is>
      </c>
      <c r="G7" s="32" t="inlineStr">
        <is>
          <t>selected date range via DateRangeProvider</t>
        </is>
      </c>
      <c r="H7" s="27" t="inlineStr">
        <is>
          <t>LIVE</t>
        </is>
      </c>
      <c r="I7" s="33" t="inlineStr">
        <is>
          <t>MAIN-0002</t>
        </is>
      </c>
    </row>
    <row r="8" ht="30" customHeight="1">
      <c r="A8" s="23" t="inlineStr">
        <is>
          <t>Webinar</t>
        </is>
      </c>
      <c r="B8" s="24" t="inlineStr">
        <is>
          <t>n/a</t>
        </is>
      </c>
      <c r="C8" s="25" t="inlineStr">
        <is>
          <t>count (enum of real webinar records)</t>
        </is>
      </c>
      <c r="D8" s="25" t="inlineStr">
        <is>
          <t>DIMENSION</t>
        </is>
      </c>
      <c r="E8" s="26" t="inlineStr">
        <is>
          <t>n/a - dimension filter</t>
        </is>
      </c>
      <c r="F8" s="26" t="inlineStr">
        <is>
          <t>public.webinars table via useWebinars() hook (src/hooks/use-webinars.ts:29-51); nested branch of Acquisition Source filter, matched via matchesWebinarFilter (dashboard.tsx:372-377) against calls.source_webinar_id</t>
        </is>
      </c>
      <c r="G8" s="26" t="inlineStr">
        <is>
          <t>all webinars regardless of range (dropdown population); filtering itself scoped to page date range</t>
        </is>
      </c>
      <c r="H8" s="27" t="inlineStr">
        <is>
          <t>LIVE</t>
        </is>
      </c>
      <c r="I8" s="28" t="inlineStr">
        <is>
          <t>MAIN-0003</t>
        </is>
      </c>
    </row>
    <row r="9" ht="6" customHeight="1"/>
    <row r="10" ht="20" customHeight="1">
      <c r="A10" s="22" t="inlineStr">
        <is>
          <t>CASH HERO</t>
        </is>
      </c>
    </row>
    <row r="11" ht="30" customHeight="1">
      <c r="A11" s="29" t="inlineStr">
        <is>
          <t>Cash Collected</t>
        </is>
      </c>
      <c r="B11" s="34" t="n"/>
      <c r="C11" s="31" t="inlineStr">
        <is>
          <t>$ (cents in DB, formatted as dollars)</t>
        </is>
      </c>
      <c r="D11" s="31" t="inlineStr">
        <is>
          <t>DERIVED</t>
        </is>
      </c>
      <c r="E11" s="32" t="inlineStr">
        <is>
          <t>Math.max(paymentsCash, callsCash+setterCash) where paymentsCash=sum(payments.amount_cents), callsCash=sum(calls.cash_collected_cents), setterCash=sum(setter_activity.cash_collected_cents)</t>
        </is>
      </c>
      <c r="F11" s="32" t="inlineStr">
        <is>
          <t>dashboard.tsx fetchPeriod() lines 403-422</t>
        </is>
      </c>
      <c r="G11" s="32" t="inlineStr">
        <is>
          <t>selected date range via DateRangeProvider</t>
        </is>
      </c>
      <c r="H11" s="27" t="inlineStr">
        <is>
          <t>LIVE</t>
        </is>
      </c>
      <c r="I11" s="33" t="inlineStr">
        <is>
          <t>MAIN-0004</t>
        </is>
      </c>
    </row>
    <row r="12" ht="30" customHeight="1">
      <c r="A12" s="23" t="inlineStr">
        <is>
          <t>Revenue Generated</t>
        </is>
      </c>
      <c r="B12" s="34" t="n"/>
      <c r="C12" s="25" t="inlineStr">
        <is>
          <t>$ (unit given as % is wrong)</t>
        </is>
      </c>
      <c r="D12" s="25" t="inlineStr">
        <is>
          <t>RAW</t>
        </is>
      </c>
      <c r="E12" s="26" t="inlineStr">
        <is>
          <t>curr.contractValue = callList.reduce((s,c)=&gt;s+(c.contract_value_cents??0),0)</t>
        </is>
      </c>
      <c r="F12" s="26" t="inlineStr">
        <is>
          <t>dashboard.tsx fetchPeriod() line 431: sum of calls.contract_value_cents for calls matching filters</t>
        </is>
      </c>
      <c r="G12" s="26" t="inlineStr">
        <is>
          <t>selected date range</t>
        </is>
      </c>
      <c r="H12" s="27" t="inlineStr">
        <is>
          <t>LIVE</t>
        </is>
      </c>
      <c r="I12" s="28" t="inlineStr">
        <is>
          <t>MAIN-0005</t>
        </is>
      </c>
    </row>
    <row r="13" ht="30" customHeight="1">
      <c r="A13" s="29" t="inlineStr">
        <is>
          <t>Cash collected rate</t>
        </is>
      </c>
      <c r="B13" s="35">
        <f>IF(N(B12)=0,"",B11/B12)</f>
        <v/>
      </c>
      <c r="C13" s="31" t="inlineStr">
        <is>
          <t>%</t>
        </is>
      </c>
      <c r="D13" s="31" t="inlineStr">
        <is>
          <t>DERIVED</t>
        </is>
      </c>
      <c r="E13" s="32" t="inlineStr">
        <is>
          <t>cashRate = (Cash Collected / Revenue Generated) * 100</t>
        </is>
      </c>
      <c r="F13" s="32" t="inlineStr">
        <is>
          <t>CashHero component, dashboard.tsx:2549</t>
        </is>
      </c>
      <c r="G13" s="32" t="inlineStr">
        <is>
          <t>selected date range (same as curr/revenue above)</t>
        </is>
      </c>
      <c r="H13" s="27" t="inlineStr">
        <is>
          <t>LIVE</t>
        </is>
      </c>
      <c r="I13" s="33" t="inlineStr">
        <is>
          <t>MAIN-0006</t>
        </is>
      </c>
    </row>
    <row r="14" ht="30" customHeight="1">
      <c r="A14" s="23" t="inlineStr">
        <is>
          <t>Pace .../day</t>
        </is>
      </c>
      <c r="B14" s="34" t="n"/>
      <c r="C14" s="25" t="inlineStr">
        <is>
          <t>$ per day</t>
        </is>
      </c>
      <c r="D14" s="25" t="inlineStr">
        <is>
          <t>DERIVED</t>
        </is>
      </c>
      <c r="E14" s="26" t="inlineStr">
        <is>
          <t>dailyPace = monthCash / dayOfMonth; monthCash = max(sum(payments.amount_cents for current calendar month), sum(calls.cash_collected_cents)+sum(setter_activity.cash_collected_cents) for current calendar month)</t>
        </is>
      </c>
      <c r="F14" s="26" t="inlineStr">
        <is>
          <t>dashboard.tsx lines 1012-1022 (pace predictor) and CashHero render at line 2696</t>
        </is>
      </c>
      <c r="G14" s="26" t="inlineStr">
        <is>
          <t>current calendar month to date (NOT the page's date-range filter; anchored to today's month per dashboard.tsx:664-669)</t>
        </is>
      </c>
      <c r="H14" s="27" t="inlineStr">
        <is>
          <t>LIVE</t>
        </is>
      </c>
      <c r="I14" s="28" t="inlineStr">
        <is>
          <t>MAIN-0007</t>
        </is>
      </c>
    </row>
    <row r="15" ht="6" customHeight="1"/>
    <row r="16" ht="20" customHeight="1">
      <c r="A16" s="22" t="inlineStr">
        <is>
          <t>MONTH-END PACE</t>
        </is>
      </c>
    </row>
    <row r="17" ht="30" customHeight="1">
      <c r="A17" s="29" t="inlineStr">
        <is>
          <t>Projected close</t>
        </is>
      </c>
      <c r="B17" s="34" t="n"/>
      <c r="C17" s="31" t="inlineStr">
        <is>
          <t>$</t>
        </is>
      </c>
      <c r="D17" s="31" t="inlineStr">
        <is>
          <t>DERIVED</t>
        </is>
      </c>
      <c r="E17" s="32" t="inlineStr">
        <is>
          <t>projection = dailyPace * daysInMonth (linear extrapolation of month-to-date daily pace across the full calendar month)</t>
        </is>
      </c>
      <c r="F17" s="32" t="inlineStr">
        <is>
          <t>dashboard.tsx line 1022 and PaceTallCard render at line 2759</t>
        </is>
      </c>
      <c r="G17" s="32" t="inlineStr">
        <is>
          <t>current calendar month (daysInMonth = calendar days in month; not the page date-range filter)</t>
        </is>
      </c>
      <c r="H17" s="27" t="inlineStr">
        <is>
          <t>LIVE</t>
        </is>
      </c>
      <c r="I17" s="33" t="inlineStr">
        <is>
          <t>MAIN-0008</t>
        </is>
      </c>
    </row>
    <row r="18" ht="30" customHeight="1">
      <c r="A18" s="23" t="inlineStr">
        <is>
          <t>Collected so far</t>
        </is>
      </c>
      <c r="B18" s="34" t="n"/>
      <c r="C18" s="25" t="inlineStr">
        <is>
          <t>$</t>
        </is>
      </c>
      <c r="D18" s="25" t="inlineStr">
        <is>
          <t>RAW</t>
        </is>
      </c>
      <c r="E18" s="26" t="inlineStr">
        <is>
          <t>monthCash = Math.max(monthPaymentsCash, monthReportedCash) for current calendar month</t>
        </is>
      </c>
      <c r="F18" s="26" t="inlineStr">
        <is>
          <t>dashboard.tsx line 1020 monthCash</t>
        </is>
      </c>
      <c r="G18" s="26" t="inlineStr">
        <is>
          <t>current calendar month to date</t>
        </is>
      </c>
      <c r="H18" s="27" t="inlineStr">
        <is>
          <t>LIVE</t>
        </is>
      </c>
      <c r="I18" s="28" t="inlineStr">
        <is>
          <t>MAIN-0009</t>
        </is>
      </c>
    </row>
    <row r="19" ht="30" customHeight="1">
      <c r="A19" s="29" t="inlineStr">
        <is>
          <t>Per day</t>
        </is>
      </c>
      <c r="B19" s="34" t="n"/>
      <c r="C19" s="31" t="inlineStr">
        <is>
          <t>$ per day</t>
        </is>
      </c>
      <c r="D19" s="31" t="inlineStr">
        <is>
          <t>RAW</t>
        </is>
      </c>
      <c r="E19" s="32" t="inlineStr">
        <is>
          <t>dailyPace = monthCash / dayOfMonth</t>
        </is>
      </c>
      <c r="F19" s="32" t="inlineStr">
        <is>
          <t>dashboard.tsx line 1021 dailyPace</t>
        </is>
      </c>
      <c r="G19" s="32" t="inlineStr">
        <is>
          <t>current calendar month to date</t>
        </is>
      </c>
      <c r="H19" s="27" t="inlineStr">
        <is>
          <t>LIVE</t>
        </is>
      </c>
      <c r="I19" s="33" t="inlineStr">
        <is>
          <t>MAIN-0010</t>
        </is>
      </c>
    </row>
    <row r="20" ht="30" customHeight="1">
      <c r="A20" s="23" t="inlineStr">
        <is>
          <t>Target status (No Target/Insufficient Data/Ahead/On Pace/Behind/At Risk)</t>
        </is>
      </c>
      <c r="B20" s="24" t="inlineStr">
        <is>
          <t>n/a</t>
        </is>
      </c>
      <c r="C20" s="25" t="inlineStr">
        <is>
          <t>status enum (6 values); given unit=% is wrong</t>
        </is>
      </c>
      <c r="D20" s="25" t="inlineStr">
        <is>
          <t>STATUS</t>
        </is>
      </c>
      <c r="E20" s="26" t="inlineStr">
        <is>
          <t>Deterministic rules: status='no_target' if no target row exists; 'ahead' if attainment&gt;=1 (period complete) or relativeToExpected&gt;=0.05; 'on_pace' if attainment&gt;=0.9 or relativeToExpected&gt;=-0.1; 'at_risk' if requiredDailyPace &gt; 2x normal target daily rate; else 'behind'. Full logic kpi-targets.ts...</t>
        </is>
      </c>
      <c r="F20" s="26" t="inlineStr">
        <is>
          <t>src/lib/kpi-targets.ts computeTargetProgress() (lines 260-376); target sourced from rep_kpi_targets table via fetchRepKpiTargets(orgId,'closer') (src/lib/rep-kpi-targets.ts:39-51), filtered to metricKey='cash_collected_cents', period='monthly', summed across active closer targets (dashboard.tsx:1...</t>
        </is>
      </c>
      <c r="G20" s="26" t="inlineStr">
        <is>
          <t>current calendar month (periodWindow anchored to today, independent of page date-range filter)</t>
        </is>
      </c>
      <c r="H20" s="27" t="inlineStr">
        <is>
          <t>LIVE</t>
        </is>
      </c>
      <c r="I20" s="28" t="inlineStr">
        <is>
          <t>MAIN-0011</t>
        </is>
      </c>
    </row>
    <row r="21" ht="6" customHeight="1"/>
    <row r="22" ht="20" customHeight="1">
      <c r="A22" s="22" t="inlineStr">
        <is>
          <t>EXECUTIVE KPI ROW</t>
        </is>
      </c>
    </row>
    <row r="23" ht="30" customHeight="1">
      <c r="A23" s="29" t="inlineStr">
        <is>
          <t>Total Cash Collected</t>
        </is>
      </c>
      <c r="B23" s="34" t="n"/>
      <c r="C23" s="31" t="inlineStr">
        <is>
          <t>$</t>
        </is>
      </c>
      <c r="D23" s="31" t="inlineStr">
        <is>
          <t>RAW</t>
        </is>
      </c>
      <c r="E23" s="32">
        <f> Cash Collected (MAIN-0004)</f>
        <v/>
      </c>
      <c r="F23" s="32" t="inlineStr">
        <is>
          <t>same as MAIN-0004: dashboard.tsx c.cash rendered at line 1968</t>
        </is>
      </c>
      <c r="G23" s="32" t="inlineStr">
        <is>
          <t>selected date range</t>
        </is>
      </c>
      <c r="H23" s="27" t="inlineStr">
        <is>
          <t>LIVE</t>
        </is>
      </c>
      <c r="I23" s="33" t="inlineStr">
        <is>
          <t>MAIN-0012</t>
        </is>
      </c>
    </row>
    <row r="24" ht="30" customHeight="1">
      <c r="A24" s="23" t="inlineStr">
        <is>
          <t>Total Revenue Generated</t>
        </is>
      </c>
      <c r="B24" s="34" t="n"/>
      <c r="C24" s="25" t="inlineStr">
        <is>
          <t>$ (given unit=% is wrong)</t>
        </is>
      </c>
      <c r="D24" s="25" t="inlineStr">
        <is>
          <t>RAW</t>
        </is>
      </c>
      <c r="E24" s="26">
        <f> Revenue Generated (MAIN-0005)</f>
        <v/>
      </c>
      <c r="F24" s="26" t="inlineStr">
        <is>
          <t>same as MAIN-0005: dashboard.tsx c.contractValue rendered at line 1974</t>
        </is>
      </c>
      <c r="G24" s="26" t="inlineStr">
        <is>
          <t>selected date range</t>
        </is>
      </c>
      <c r="H24" s="27" t="inlineStr">
        <is>
          <t>LIVE</t>
        </is>
      </c>
      <c r="I24" s="28" t="inlineStr">
        <is>
          <t>MAIN-0013</t>
        </is>
      </c>
    </row>
    <row r="25" ht="30" customHeight="1">
      <c r="A25" s="29" t="inlineStr">
        <is>
          <t>MRR — Low Ticket</t>
        </is>
      </c>
      <c r="B25" s="30" t="inlineStr">
        <is>
          <t>n/a</t>
        </is>
      </c>
      <c r="C25" s="31" t="inlineStr">
        <is>
          <t>n/a</t>
        </is>
      </c>
      <c r="D25" s="31" t="inlineStr">
        <is>
          <t>OTHER</t>
        </is>
      </c>
      <c r="E25" s="32" t="inlineStr">
        <is>
          <t>value="Not tracked" literal string; supporting text: "Requires a client-level recurring-revenue field this schema doesn't have yet."</t>
        </is>
      </c>
      <c r="F25" s="32" t="inlineStr">
        <is>
          <t>dashboard.tsx lines 1978-1983: hardcoded string, no query</t>
        </is>
      </c>
      <c r="G25" s="32" t="inlineStr">
        <is>
          <t>n/a</t>
        </is>
      </c>
      <c r="H25" s="36" t="inlineStr">
        <is>
          <t>NOT AVAILABLE</t>
        </is>
      </c>
      <c r="I25" s="33" t="inlineStr">
        <is>
          <t>MAIN-0014</t>
        </is>
      </c>
    </row>
    <row r="26" ht="30" customHeight="1">
      <c r="A26" s="23" t="inlineStr">
        <is>
          <t>Low Ticket Active</t>
        </is>
      </c>
      <c r="B26" s="37" t="n"/>
      <c r="C26" s="25" t="inlineStr">
        <is>
          <t>count</t>
        </is>
      </c>
      <c r="D26" s="25" t="inlineStr">
        <is>
          <t>RAW</t>
        </is>
      </c>
      <c r="E26" s="26" t="inlineStr">
        <is>
          <t>count of active clients whose linked leads.ticket_tier === 'low'</t>
        </is>
      </c>
      <c r="F26" s="26" t="inlineStr">
        <is>
          <t>dashboard.tsx activeTierCounts query lines 523-550: supabase.from('clients').select('id, leads(ticket_tier)').eq('org_id', orgId).eq('status','active')</t>
        </is>
      </c>
      <c r="G26" s="26" t="inlineStr">
        <is>
          <t>none/point-in-time (deliberately NOT scoped to page date range; comment at dashboard.tsx:519-522 explains 'Active' is a current-state snapshot)</t>
        </is>
      </c>
      <c r="H26" s="27" t="inlineStr">
        <is>
          <t>LIVE</t>
        </is>
      </c>
      <c r="I26" s="28" t="inlineStr">
        <is>
          <t>MAIN-0015</t>
        </is>
      </c>
    </row>
    <row r="27" ht="30" customHeight="1">
      <c r="A27" s="29" t="inlineStr">
        <is>
          <t>High Ticket Active</t>
        </is>
      </c>
      <c r="B27" s="37" t="n"/>
      <c r="C27" s="31" t="inlineStr">
        <is>
          <t>count</t>
        </is>
      </c>
      <c r="D27" s="31" t="inlineStr">
        <is>
          <t>RAW</t>
        </is>
      </c>
      <c r="E27" s="32" t="inlineStr">
        <is>
          <t>count of active clients whose linked leads.ticket_tier === 'high'</t>
        </is>
      </c>
      <c r="F27" s="32" t="inlineStr">
        <is>
          <t>same query as MAIN-0015</t>
        </is>
      </c>
      <c r="G27" s="32" t="inlineStr">
        <is>
          <t>none/point-in-time</t>
        </is>
      </c>
      <c r="H27" s="27" t="inlineStr">
        <is>
          <t>LIVE</t>
        </is>
      </c>
      <c r="I27" s="33" t="inlineStr">
        <is>
          <t>MAIN-0016</t>
        </is>
      </c>
    </row>
    <row r="28" ht="6" customHeight="1"/>
    <row r="29" ht="20" customHeight="1">
      <c r="A29" s="22" t="inlineStr">
        <is>
          <t>COMPANY KPIS</t>
        </is>
      </c>
    </row>
    <row r="30" ht="30" customHeight="1">
      <c r="A30" s="23" t="inlineStr">
        <is>
          <t>New Leads</t>
        </is>
      </c>
      <c r="B30" s="37" t="n"/>
      <c r="C30" s="25" t="inlineStr">
        <is>
          <t>count</t>
        </is>
      </c>
      <c r="D30" s="25" t="inlineStr">
        <is>
          <t>RAW</t>
        </is>
      </c>
      <c r="E30" s="26" t="inlineStr">
        <is>
          <t>count of leads rows matching filters</t>
        </is>
      </c>
      <c r="F30" s="26" t="inlineStr">
        <is>
          <t>dashboard.tsx fetchPeriod() line 426: c.newLeads = leadList.length</t>
        </is>
      </c>
      <c r="G30" s="26" t="inlineStr">
        <is>
          <t>selected date range</t>
        </is>
      </c>
      <c r="H30" s="27" t="inlineStr">
        <is>
          <t>LIVE</t>
        </is>
      </c>
      <c r="I30" s="28" t="inlineStr">
        <is>
          <t>MAIN-0017</t>
        </is>
      </c>
    </row>
    <row r="31" ht="30" customHeight="1">
      <c r="A31" s="29" t="inlineStr">
        <is>
          <t>Total Views</t>
        </is>
      </c>
      <c r="B31" s="37" t="n"/>
      <c r="C31" s="31" t="inlineStr">
        <is>
          <t>count</t>
        </is>
      </c>
      <c r="D31" s="31" t="inlineStr">
        <is>
          <t>RAW</t>
        </is>
      </c>
      <c r="E31" s="32" t="inlineStr">
        <is>
          <t>sum of content_metrics.views for the period (only when no platform/source filter active; contentList is empty otherwise per line 399-400)</t>
        </is>
      </c>
      <c r="F31" s="32" t="inlineStr">
        <is>
          <t>dashboard.tsx fetchPeriod() line 432: contentList.reduce(...views)</t>
        </is>
      </c>
      <c r="G31" s="32" t="inlineStr">
        <is>
          <t>selected date range</t>
        </is>
      </c>
      <c r="H31" s="27" t="inlineStr">
        <is>
          <t>LIVE</t>
        </is>
      </c>
      <c r="I31" s="33" t="inlineStr">
        <is>
          <t>MAIN-0018</t>
        </is>
      </c>
    </row>
    <row r="32" ht="6" customHeight="1"/>
    <row r="33" ht="20" customHeight="1">
      <c r="A33" s="22" t="inlineStr">
        <is>
          <t>PAID AD PERFORMANCE</t>
        </is>
      </c>
    </row>
    <row r="34" ht="30" customHeight="1">
      <c r="A34" s="23" t="inlineStr">
        <is>
          <t>Ad Cash Collected</t>
        </is>
      </c>
      <c r="B34" s="34" t="n"/>
      <c r="C34" s="25" t="inlineStr">
        <is>
          <t>$</t>
        </is>
      </c>
      <c r="D34" s="25" t="inlineStr">
        <is>
          <t>RAW</t>
        </is>
      </c>
      <c r="E34" s="26" t="inlineStr">
        <is>
          <t>sum of cash_collected_cents for closed calls whose lead's traffic_source category is Meta Ads or Google</t>
        </is>
      </c>
      <c r="F34" s="26" t="inlineStr">
        <is>
          <t>dashboard.tsx adAttributed query lines 587-625: calls (closed=true) joined to leads.traffic_source_id joined to traffic_sources.category, filtered to category IN ('Meta Ads','Google')</t>
        </is>
      </c>
      <c r="G34" s="26" t="inlineStr">
        <is>
          <t>selected date range</t>
        </is>
      </c>
      <c r="H34" s="38" t="inlineStr">
        <is>
          <t>PARTIALLY CONNECTED</t>
        </is>
      </c>
      <c r="I34" s="28" t="inlineStr">
        <is>
          <t>MAIN-0019</t>
        </is>
      </c>
    </row>
    <row r="35" ht="30" customHeight="1">
      <c r="A35" s="29" t="inlineStr">
        <is>
          <t>Ad Total Revenue</t>
        </is>
      </c>
      <c r="B35" s="34" t="n"/>
      <c r="C35" s="31" t="inlineStr">
        <is>
          <t>$</t>
        </is>
      </c>
      <c r="D35" s="31" t="inlineStr">
        <is>
          <t>RAW</t>
        </is>
      </c>
      <c r="E35" s="32" t="inlineStr">
        <is>
          <t>sum of contract_value_cents for the same paid-attributed closed calls</t>
        </is>
      </c>
      <c r="F35" s="32" t="inlineStr">
        <is>
          <t>same query as MAIN-0019 (dashboard.tsx:587-625)</t>
        </is>
      </c>
      <c r="G35" s="32" t="inlineStr">
        <is>
          <t>selected date range</t>
        </is>
      </c>
      <c r="H35" s="38" t="inlineStr">
        <is>
          <t>PARTIALLY CONNECTED</t>
        </is>
      </c>
      <c r="I35" s="33" t="inlineStr">
        <is>
          <t>MAIN-0020</t>
        </is>
      </c>
    </row>
    <row r="36" ht="30" customHeight="1">
      <c r="A36" s="23" t="inlineStr">
        <is>
          <t>Ad Spend</t>
        </is>
      </c>
      <c r="B36" s="34" t="n"/>
      <c r="C36" s="25" t="inlineStr">
        <is>
          <t>$</t>
        </is>
      </c>
      <c r="D36" s="25" t="inlineStr">
        <is>
          <t>RAW</t>
        </is>
      </c>
      <c r="E36" s="26" t="inlineStr">
        <is>
          <t>sum of acquisition_spend.spend_amount_cents in range</t>
        </is>
      </c>
      <c r="F36" s="26" t="inlineStr">
        <is>
          <t>dashboard.tsx adSpend query lines 558-574: supabase.from('acquisition_spend').select('spend_amount_cents').eq('org_id', orgId).gte/lte(spend_date, range)</t>
        </is>
      </c>
      <c r="G36" s="26" t="inlineStr">
        <is>
          <t>selected date range</t>
        </is>
      </c>
      <c r="H36" s="38" t="inlineStr">
        <is>
          <t>PARTIALLY CONNECTED</t>
        </is>
      </c>
      <c r="I36" s="28" t="inlineStr">
        <is>
          <t>MAIN-0021</t>
        </is>
      </c>
    </row>
    <row r="37" ht="30" customHeight="1">
      <c r="A37" s="29" t="inlineStr">
        <is>
          <t>ROAS</t>
        </is>
      </c>
      <c r="B37" s="37" t="n"/>
      <c r="C37" s="31" t="inlineStr">
        <is>
          <t>ratio rendered as 'x' (given unit=% is wrong)</t>
        </is>
      </c>
      <c r="D37" s="31" t="inlineStr">
        <is>
          <t>DERIVED</t>
        </is>
      </c>
      <c r="E37" s="32" t="inlineStr">
        <is>
          <t>(adAttributed.revenueCents / adSpend.spendCents), rendered e.g. '2.35x'; only computed when both adSpend.hasData and adAttributed.hasData and both &gt;0, else 'Not tracked'</t>
        </is>
      </c>
      <c r="F37" s="32" t="inlineStr">
        <is>
          <t>dashboard.tsx lines 2092-2114</t>
        </is>
      </c>
      <c r="G37" s="32" t="inlineStr">
        <is>
          <t>selected date range</t>
        </is>
      </c>
      <c r="H37" s="38" t="inlineStr">
        <is>
          <t>PARTIALLY CONNECTED</t>
        </is>
      </c>
      <c r="I37" s="33" t="inlineStr">
        <is>
          <t>MAIN-0022</t>
        </is>
      </c>
    </row>
    <row r="38" ht="6" customHeight="1"/>
    <row r="39" ht="20" customHeight="1">
      <c r="A39" s="22" t="inlineStr">
        <is>
          <t>TRAFFIC → VSL</t>
        </is>
      </c>
    </row>
    <row r="40" ht="30" customHeight="1">
      <c r="A40" s="23" t="inlineStr">
        <is>
          <t>VSL Page Visits</t>
        </is>
      </c>
      <c r="B40" s="37" t="n"/>
      <c r="C40" s="25" t="inlineStr">
        <is>
          <t>count</t>
        </is>
      </c>
      <c r="D40" s="25" t="inlineStr">
        <is>
          <t>RAW</t>
        </is>
      </c>
      <c r="E40" s="26" t="inlineStr">
        <is>
          <t>sum of vsl_metric_snapshots.page_loads</t>
        </is>
      </c>
      <c r="F40" s="26" t="inlineStr">
        <is>
          <t>src/components/hub-operating-metrics.tsx query lines 593-598: supabase.from('vsl_metric_snapshots').select(...).eq('org_id', orgId), summed at line 156</t>
        </is>
      </c>
      <c r="G40" s="26" t="inlineStr">
        <is>
          <t>selected date range (via useDateRange, independent query from main dashboard)</t>
        </is>
      </c>
      <c r="H40" s="38" t="inlineStr">
        <is>
          <t>PARTIALLY CONNECTED</t>
        </is>
      </c>
      <c r="I40" s="28" t="inlineStr">
        <is>
          <t>MAIN-0023</t>
        </is>
      </c>
    </row>
    <row r="41" ht="30" customHeight="1">
      <c r="A41" s="29" t="inlineStr">
        <is>
          <t>VSL Plays</t>
        </is>
      </c>
      <c r="B41" s="37" t="n"/>
      <c r="C41" s="31" t="inlineStr">
        <is>
          <t>count</t>
        </is>
      </c>
      <c r="D41" s="31" t="inlineStr">
        <is>
          <t>RAW</t>
        </is>
      </c>
      <c r="E41" s="32" t="inlineStr">
        <is>
          <t>sum of vsl_metric_snapshots.total_plays</t>
        </is>
      </c>
      <c r="F41" s="32" t="inlineStr">
        <is>
          <t>hub-operating-metrics.tsx line 157: plays = sum of total_plays</t>
        </is>
      </c>
      <c r="G41" s="32" t="inlineStr">
        <is>
          <t>selected date range</t>
        </is>
      </c>
      <c r="H41" s="38" t="inlineStr">
        <is>
          <t>PARTIALLY CONNECTED</t>
        </is>
      </c>
      <c r="I41" s="33" t="inlineStr">
        <is>
          <t>MAIN-0024</t>
        </is>
      </c>
    </row>
    <row r="42" ht="30" customHeight="1">
      <c r="A42" s="23" t="inlineStr">
        <is>
          <t>Unique Viewers</t>
        </is>
      </c>
      <c r="B42" s="37" t="n"/>
      <c r="C42" s="25" t="inlineStr">
        <is>
          <t>count</t>
        </is>
      </c>
      <c r="D42" s="25" t="inlineStr">
        <is>
          <t>RAW</t>
        </is>
      </c>
      <c r="E42" s="26" t="inlineStr">
        <is>
          <t>sum of vsl_metric_snapshots.unique_viewers</t>
        </is>
      </c>
      <c r="F42" s="26" t="inlineStr">
        <is>
          <t>hub-operating-metrics.tsx line 158: viewers = sum of unique_viewers</t>
        </is>
      </c>
      <c r="G42" s="26" t="inlineStr">
        <is>
          <t>selected date range</t>
        </is>
      </c>
      <c r="H42" s="38" t="inlineStr">
        <is>
          <t>PARTIALLY CONNECTED</t>
        </is>
      </c>
      <c r="I42" s="28" t="inlineStr">
        <is>
          <t>MAIN-0025</t>
        </is>
      </c>
    </row>
    <row r="43" ht="30" customHeight="1">
      <c r="A43" s="29" t="inlineStr">
        <is>
          <t>Engagement Rate</t>
        </is>
      </c>
      <c r="B43" s="39" t="n"/>
      <c r="C43" s="31" t="inlineStr">
        <is>
          <t>%</t>
        </is>
      </c>
      <c r="D43" s="31" t="inlineStr">
        <is>
          <t>AGGREGATED</t>
        </is>
      </c>
      <c r="E43" s="32" t="inlineStr">
        <is>
          <t>average of vsl_metric_snapshots.avg_percent_watched across rows with a nonzero value (arithmetic mean of an already-averaged per-row percentage, not a count ratio)</t>
        </is>
      </c>
      <c r="F43" s="32" t="inlineStr">
        <is>
          <t>hub-operating-metrics.tsx lines 159-162</t>
        </is>
      </c>
      <c r="G43" s="32" t="inlineStr">
        <is>
          <t>selected date range</t>
        </is>
      </c>
      <c r="H43" s="38" t="inlineStr">
        <is>
          <t>PARTIALLY CONNECTED</t>
        </is>
      </c>
      <c r="I43" s="33" t="inlineStr">
        <is>
          <t>MAIN-0026</t>
        </is>
      </c>
    </row>
    <row r="44" ht="30" customHeight="1">
      <c r="A44" s="23" t="inlineStr">
        <is>
          <t>Play Rate</t>
        </is>
      </c>
      <c r="B44" s="35">
        <f>IF(N(B40)=0,"",B41/B40)</f>
        <v/>
      </c>
      <c r="C44" s="25" t="inlineStr">
        <is>
          <t>%</t>
        </is>
      </c>
      <c r="D44" s="25" t="inlineStr">
        <is>
          <t>DERIVED</t>
        </is>
      </c>
      <c r="E44" s="26" t="inlineStr">
        <is>
          <t>ratePct(plays,visits) = (VSL Plays / VSL Page Visits) * 100</t>
        </is>
      </c>
      <c r="F44" s="26" t="inlineStr">
        <is>
          <t>hub-operating-metrics.tsx rateCharts 'playrate' (lines 736-745)</t>
        </is>
      </c>
      <c r="G44" s="26" t="inlineStr">
        <is>
          <t>selected date range</t>
        </is>
      </c>
      <c r="H44" s="38" t="inlineStr">
        <is>
          <t>PARTIALLY CONNECTED</t>
        </is>
      </c>
      <c r="I44" s="28" t="inlineStr">
        <is>
          <t>MAIN-0027</t>
        </is>
      </c>
    </row>
    <row r="45" ht="6" customHeight="1"/>
    <row r="46" ht="20" customHeight="1">
      <c r="A46" s="22" t="inlineStr">
        <is>
          <t>APPLICATIONS</t>
        </is>
      </c>
    </row>
    <row r="47" ht="30" customHeight="1">
      <c r="A47" s="29" t="inlineStr">
        <is>
          <t>Applications Submitted</t>
        </is>
      </c>
      <c r="B47" s="37" t="n"/>
      <c r="C47" s="31" t="inlineStr">
        <is>
          <t>count</t>
        </is>
      </c>
      <c r="D47" s="31" t="inlineStr">
        <is>
          <t>RAW</t>
        </is>
      </c>
      <c r="E47" s="32" t="inlineStr">
        <is>
          <t>count of leads whose application_data JSON has at least one key</t>
        </is>
      </c>
      <c r="F47" s="32" t="inlineStr">
        <is>
          <t>hub-operating-metrics.tsx: appRows = leadRows.filter(isCompleteApp) (line 657); isCompleteApp() at lines 120-123 checks leads.application_data is a non-empty object</t>
        </is>
      </c>
      <c r="G47" s="32" t="inlineStr">
        <is>
          <t>selected date range</t>
        </is>
      </c>
      <c r="H47" s="27" t="inlineStr">
        <is>
          <t>LIVE</t>
        </is>
      </c>
      <c r="I47" s="33" t="inlineStr">
        <is>
          <t>MAIN-0028</t>
        </is>
      </c>
    </row>
    <row r="48" ht="30" customHeight="1">
      <c r="A48" s="23" t="inlineStr">
        <is>
          <t>Completion Rate</t>
        </is>
      </c>
      <c r="B48" s="39" t="n"/>
      <c r="C48" s="25" t="inlineStr">
        <is>
          <t>%</t>
        </is>
      </c>
      <c r="D48" s="25" t="inlineStr">
        <is>
          <t>AGGREGATED</t>
        </is>
      </c>
      <c r="E48" s="26" t="inlineStr">
        <is>
          <t>average of appCompleteness(lead) across all apps, where appCompleteness = min(1, (count of APP_FIELDS with non-empty value in application_data) / 13); APP_FIELDS is a fixed list of 13 expected Typeform question keys (lines 51-65)</t>
        </is>
      </c>
      <c r="F48" s="26" t="inlineStr">
        <is>
          <t>hub-operating-metrics.tsx appCompleteness() lines 125-131 and aggregate() line 164-166</t>
        </is>
      </c>
      <c r="G48" s="26" t="inlineStr">
        <is>
          <t>selected date range</t>
        </is>
      </c>
      <c r="H48" s="27" t="inlineStr">
        <is>
          <t>LIVE</t>
        </is>
      </c>
      <c r="I48" s="28" t="inlineStr">
        <is>
          <t>MAIN-0029</t>
        </is>
      </c>
    </row>
    <row r="49" ht="30" customHeight="1">
      <c r="A49" s="29" t="inlineStr">
        <is>
          <t>Application Quality</t>
        </is>
      </c>
      <c r="B49" s="37" t="n"/>
      <c r="C49" s="31" t="inlineStr">
        <is>
          <t>score 1-5 (given unit=count is wrong)</t>
        </is>
      </c>
      <c r="D49" s="31" t="inlineStr">
        <is>
          <t>AGGREGATED</t>
        </is>
      </c>
      <c r="E49" s="32" t="inlineStr">
        <is>
          <t>average of appQuality(lead) across apps; appQuality = intent_score-derived 1-5 score if leads.intent_score&gt;0 (scaled /20 if &gt;5), else a 1-4 score from (answered fields/13)*3 + 1, +1 bonus if leads.priority==='diamond', rendered e.g. '3.2/5'</t>
        </is>
      </c>
      <c r="F49" s="32" t="inlineStr">
        <is>
          <t>hub-operating-metrics.tsx appQuality() lines 133-140</t>
        </is>
      </c>
      <c r="G49" s="32" t="inlineStr">
        <is>
          <t>selected date range</t>
        </is>
      </c>
      <c r="H49" s="27" t="inlineStr">
        <is>
          <t>LIVE</t>
        </is>
      </c>
      <c r="I49" s="33" t="inlineStr">
        <is>
          <t>MAIN-0030</t>
        </is>
      </c>
    </row>
    <row r="50" ht="30" customHeight="1">
      <c r="A50" s="23" t="inlineStr">
        <is>
          <t>Pre-call Vids Watched</t>
        </is>
      </c>
      <c r="B50" s="37" t="n"/>
      <c r="C50" s="25" t="inlineStr">
        <is>
          <t>count</t>
        </is>
      </c>
      <c r="D50" s="25" t="inlineStr">
        <is>
          <t>RAW</t>
        </is>
      </c>
      <c r="E50" s="26" t="inlineStr">
        <is>
          <t>count of leads rows in range with precall_video_watched=true</t>
        </is>
      </c>
      <c r="F50" s="26" t="inlineStr">
        <is>
          <t>hub-operating-metrics.tsx line 168: leads.filter(l=&gt;l.precall_video_watched).length</t>
        </is>
      </c>
      <c r="G50" s="26" t="inlineStr">
        <is>
          <t>selected date range</t>
        </is>
      </c>
      <c r="H50" s="27" t="inlineStr">
        <is>
          <t>LIVE</t>
        </is>
      </c>
      <c r="I50" s="28" t="inlineStr">
        <is>
          <t>MAIN-0031</t>
        </is>
      </c>
    </row>
    <row r="51" ht="30" customHeight="1">
      <c r="A51" s="29" t="inlineStr">
        <is>
          <t>Application → Booked Call Rate</t>
        </is>
      </c>
      <c r="B51" s="39" t="n"/>
      <c r="C51" s="31" t="inlineStr">
        <is>
          <t>%</t>
        </is>
      </c>
      <c r="D51" s="31" t="inlineStr">
        <is>
          <t>DERIVED</t>
        </is>
      </c>
      <c r="E51" s="32" t="inlineStr">
        <is>
          <t>ratePct(booked,apps) = (calls booked in range / Applications Submitted) * 100</t>
        </is>
      </c>
      <c r="F51" s="32" t="inlineStr">
        <is>
          <t>hub-operating-metrics.tsx rateItem('appbooked') using rateCharts 'appbooked' (lines 746-754)</t>
        </is>
      </c>
      <c r="G51" s="32" t="inlineStr">
        <is>
          <t>selected date range</t>
        </is>
      </c>
      <c r="H51" s="27" t="inlineStr">
        <is>
          <t>LIVE</t>
        </is>
      </c>
      <c r="I51" s="33" t="inlineStr">
        <is>
          <t>MAIN-0032</t>
        </is>
      </c>
    </row>
    <row r="52" ht="6" customHeight="1"/>
    <row r="53" ht="20" customHeight="1">
      <c r="A53" s="22" t="inlineStr">
        <is>
          <t>OPERATING RATES</t>
        </is>
      </c>
    </row>
    <row r="54" ht="30" customHeight="1">
      <c r="A54" s="23" t="inlineStr">
        <is>
          <t>Play Rate</t>
        </is>
      </c>
      <c r="B54" s="35">
        <f>IF(N(B40)=0,"",B41/B40)</f>
        <v/>
      </c>
      <c r="C54" s="25" t="inlineStr">
        <is>
          <t>%</t>
        </is>
      </c>
      <c r="D54" s="25" t="inlineStr">
        <is>
          <t>DERIVED</t>
        </is>
      </c>
      <c r="E54" s="26">
        <f> Play Rate (MAIN-0027)</f>
        <v/>
      </c>
      <c r="F54" s="26" t="inlineStr">
        <is>
          <t>hub-operating-metrics.tsx OperatingRatesPipeline marketing filter includes key 'playrate' (line 443)</t>
        </is>
      </c>
      <c r="G54" s="26" t="inlineStr">
        <is>
          <t>selected date range</t>
        </is>
      </c>
      <c r="H54" s="38" t="inlineStr">
        <is>
          <t>PARTIALLY CONNECTED</t>
        </is>
      </c>
      <c r="I54" s="28" t="inlineStr">
        <is>
          <t>MAIN-0033</t>
        </is>
      </c>
    </row>
    <row r="55" ht="30" customHeight="1">
      <c r="A55" s="29" t="inlineStr">
        <is>
          <t>App → Booked</t>
        </is>
      </c>
      <c r="B55" s="39" t="n"/>
      <c r="C55" s="31" t="inlineStr">
        <is>
          <t>% (given unit=count is wrong; RateProgress renders currentPct.toFixed(1)+'%' at line 417)</t>
        </is>
      </c>
      <c r="D55" s="31" t="inlineStr">
        <is>
          <t>DERIVED</t>
        </is>
      </c>
      <c r="E55" s="32">
        <f> Application → Booked Call Rate (MAIN-0032)</f>
        <v/>
      </c>
      <c r="F55" s="32" t="inlineStr">
        <is>
          <t>hub-operating-metrics.tsx OperatingRatesPipeline marketing filter includes key 'appbooked' (line 443)</t>
        </is>
      </c>
      <c r="G55" s="32" t="inlineStr">
        <is>
          <t>selected date range</t>
        </is>
      </c>
      <c r="H55" s="27" t="inlineStr">
        <is>
          <t>LIVE</t>
        </is>
      </c>
      <c r="I55" s="33" t="inlineStr">
        <is>
          <t>MAIN-0034</t>
        </is>
      </c>
    </row>
    <row r="56" ht="30" customHeight="1">
      <c r="A56" s="23" t="inlineStr">
        <is>
          <t>Qualified Convo Rate</t>
        </is>
      </c>
      <c r="B56" s="39" t="n"/>
      <c r="C56" s="25" t="inlineStr">
        <is>
          <t>%</t>
        </is>
      </c>
      <c r="D56" s="25" t="inlineStr">
        <is>
          <t>DERIVED</t>
        </is>
      </c>
      <c r="E56" s="26" t="inlineStr">
        <is>
          <t>ratePct(qualified,contacted) = (sum setter_activity.qualified_convos / sum setter_activity.leads_contacted) * 100</t>
        </is>
      </c>
      <c r="F56" s="26" t="inlineStr">
        <is>
          <t>hub-operating-metrics.tsx rateCharts 'qualrate' (lines 764-772)</t>
        </is>
      </c>
      <c r="G56" s="26" t="inlineStr">
        <is>
          <t>selected date range</t>
        </is>
      </c>
      <c r="H56" s="27" t="inlineStr">
        <is>
          <t>LIVE</t>
        </is>
      </c>
      <c r="I56" s="28" t="inlineStr">
        <is>
          <t>MAIN-0035</t>
        </is>
      </c>
    </row>
    <row r="57" ht="30" customHeight="1">
      <c r="A57" s="29" t="inlineStr">
        <is>
          <t>Pick-up Rate</t>
        </is>
      </c>
      <c r="B57" s="39" t="n"/>
      <c r="C57" s="31" t="inlineStr">
        <is>
          <t>%</t>
        </is>
      </c>
      <c r="D57" s="31" t="inlineStr">
        <is>
          <t>DERIVED</t>
        </is>
      </c>
      <c r="E57" s="32" t="inlineStr">
        <is>
          <t>ratePct(connections,dials) = (sum setter_activity.connections / sum setter_activity.dials) * 100</t>
        </is>
      </c>
      <c r="F57" s="32" t="inlineStr">
        <is>
          <t>hub-operating-metrics.tsx rateCharts 'pickuprate' (lines 755-763)</t>
        </is>
      </c>
      <c r="G57" s="32" t="inlineStr">
        <is>
          <t>selected date range</t>
        </is>
      </c>
      <c r="H57" s="27" t="inlineStr">
        <is>
          <t>LIVE</t>
        </is>
      </c>
      <c r="I57" s="33" t="inlineStr">
        <is>
          <t>MAIN-0036</t>
        </is>
      </c>
    </row>
    <row r="58" ht="30" customHeight="1">
      <c r="A58" s="23" t="inlineStr">
        <is>
          <t>Show Rate</t>
        </is>
      </c>
      <c r="B58" s="35">
        <f>IF(N(B86)=0,"",B96/B86)</f>
        <v/>
      </c>
      <c r="C58" s="25" t="inlineStr">
        <is>
          <t>%</t>
        </is>
      </c>
      <c r="D58" s="25" t="inlineStr">
        <is>
          <t>DERIVED</t>
        </is>
      </c>
      <c r="E58" s="26" t="inlineStr">
        <is>
          <t>ratePct(showed,booked) = (calls.showed=true count / calls booked count) * 100</t>
        </is>
      </c>
      <c r="F58" s="26" t="inlineStr">
        <is>
          <t>hub-operating-metrics.tsx rateCharts 'showrate' (lines 773-781)</t>
        </is>
      </c>
      <c r="G58" s="26" t="inlineStr">
        <is>
          <t>selected date range</t>
        </is>
      </c>
      <c r="H58" s="27" t="inlineStr">
        <is>
          <t>LIVE</t>
        </is>
      </c>
      <c r="I58" s="28" t="inlineStr">
        <is>
          <t>MAIN-0037</t>
        </is>
      </c>
    </row>
    <row r="59" ht="30" customHeight="1">
      <c r="A59" s="29" t="inlineStr">
        <is>
          <t>Close Rate (on show)</t>
        </is>
      </c>
      <c r="B59" s="35">
        <f>IF(N(B96)=0,"",B81/B96)</f>
        <v/>
      </c>
      <c r="C59" s="31" t="inlineStr">
        <is>
          <t>%</t>
        </is>
      </c>
      <c r="D59" s="31" t="inlineStr">
        <is>
          <t>DERIVED</t>
        </is>
      </c>
      <c r="E59" s="32" t="inlineStr">
        <is>
          <t>ratePct(closed,showed) = (calls.closed=true count / calls.showed=true count) * 100</t>
        </is>
      </c>
      <c r="F59" s="32" t="inlineStr">
        <is>
          <t>hub-operating-metrics.tsx rateCharts 'closerate' (lines 782-790)</t>
        </is>
      </c>
      <c r="G59" s="32" t="inlineStr">
        <is>
          <t>selected date range</t>
        </is>
      </c>
      <c r="H59" s="27" t="inlineStr">
        <is>
          <t>LIVE</t>
        </is>
      </c>
      <c r="I59" s="33" t="inlineStr">
        <is>
          <t>MAIN-0038</t>
        </is>
      </c>
    </row>
    <row r="60" ht="6" customHeight="1"/>
    <row r="61" ht="20" customHeight="1">
      <c r="A61" s="22" t="inlineStr">
        <is>
          <t>REP EFFICIENCY &amp; INBOUND VELOCITY</t>
        </is>
      </c>
    </row>
    <row r="62" ht="30" customHeight="1">
      <c r="A62" s="23" t="inlineStr">
        <is>
          <t>New inbound leads</t>
        </is>
      </c>
      <c r="B62" s="37" t="n"/>
      <c r="C62" s="25" t="inlineStr">
        <is>
          <t>count</t>
        </is>
      </c>
      <c r="D62" s="25" t="inlineStr">
        <is>
          <t>RAW</t>
        </is>
      </c>
      <c r="E62" s="26">
        <f> totals.apps (same value as Applications Submitted MAIN-0028)</f>
        <v/>
      </c>
      <c r="F62" s="26" t="inlineStr">
        <is>
          <t>hub-operating-metrics.tsx InboundVelocityCard line 236: inboundLeads = totals.apps</t>
        </is>
      </c>
      <c r="G62" s="26" t="inlineStr">
        <is>
          <t>selected date range</t>
        </is>
      </c>
      <c r="H62" s="27" t="inlineStr">
        <is>
          <t>LIVE</t>
        </is>
      </c>
      <c r="I62" s="28" t="inlineStr">
        <is>
          <t>MAIN-0039</t>
        </is>
      </c>
    </row>
    <row r="63" ht="30" customHeight="1">
      <c r="A63" s="29" t="inlineStr">
        <is>
          <t>Qualified convos</t>
        </is>
      </c>
      <c r="B63" s="37" t="n"/>
      <c r="C63" s="31" t="inlineStr">
        <is>
          <t>count</t>
        </is>
      </c>
      <c r="D63" s="31" t="inlineStr">
        <is>
          <t>RAW</t>
        </is>
      </c>
      <c r="E63" s="32" t="inlineStr">
        <is>
          <t>sum of setter_activity.qualified_convos</t>
        </is>
      </c>
      <c r="F63" s="32" t="inlineStr">
        <is>
          <t>hub-operating-metrics.tsx InboundVelocityCard line 237: qualified = totals.qualified</t>
        </is>
      </c>
      <c r="G63" s="32" t="inlineStr">
        <is>
          <t>selected date range</t>
        </is>
      </c>
      <c r="H63" s="27" t="inlineStr">
        <is>
          <t>LIVE</t>
        </is>
      </c>
      <c r="I63" s="33" t="inlineStr">
        <is>
          <t>MAIN-0040</t>
        </is>
      </c>
    </row>
    <row r="64" ht="30" customHeight="1">
      <c r="A64" s="23" t="inlineStr">
        <is>
          <t>Links sent</t>
        </is>
      </c>
      <c r="B64" s="37" t="n"/>
      <c r="C64" s="25" t="inlineStr">
        <is>
          <t>count</t>
        </is>
      </c>
      <c r="D64" s="25" t="inlineStr">
        <is>
          <t>RAW</t>
        </is>
      </c>
      <c r="E64" s="26" t="inlineStr">
        <is>
          <t>sum of setter_activity.links_sent</t>
        </is>
      </c>
      <c r="F64" s="26" t="inlineStr">
        <is>
          <t>hub-operating-metrics.tsx InboundVelocityCard line 238: links = totals.linksSent</t>
        </is>
      </c>
      <c r="G64" s="26" t="inlineStr">
        <is>
          <t>selected date range</t>
        </is>
      </c>
      <c r="H64" s="27" t="inlineStr">
        <is>
          <t>LIVE</t>
        </is>
      </c>
      <c r="I64" s="28" t="inlineStr">
        <is>
          <t>MAIN-0041</t>
        </is>
      </c>
    </row>
    <row r="65" ht="30" customHeight="1">
      <c r="A65" s="29" t="inlineStr">
        <is>
          <t>Avg first response time</t>
        </is>
      </c>
      <c r="B65" s="30" t="inlineStr">
        <is>
          <t>n/a</t>
        </is>
      </c>
      <c r="C65" s="31" t="inlineStr">
        <is>
          <t>n/a (fake unit - claims minutes)</t>
        </is>
      </c>
      <c r="D65" s="31" t="inlineStr">
        <is>
          <t>OTHER</t>
        </is>
      </c>
      <c r="E65" s="32" t="inlineStr">
        <is>
          <t>HARDCODED: { label: 'Avg first response time', value: '&lt; 4 mins', pct: 82 } - a literal string and literal number, not computed from any query result or column</t>
        </is>
      </c>
      <c r="F65" s="32" t="inlineStr">
        <is>
          <t>hub-operating-metrics.tsx lines 242-243, inside velocityRows array literal</t>
        </is>
      </c>
      <c r="G65" s="32" t="inlineStr">
        <is>
          <t>n/a - static</t>
        </is>
      </c>
      <c r="H65" s="36" t="inlineStr">
        <is>
          <t>PLACEHOLDER</t>
        </is>
      </c>
      <c r="I65" s="33" t="inlineStr">
        <is>
          <t>MAIN-0042</t>
        </is>
      </c>
    </row>
    <row r="66" ht="30" customHeight="1">
      <c r="A66" s="23" t="inlineStr">
        <is>
          <t>Convo-to-link sent rate</t>
        </is>
      </c>
      <c r="B66" s="35">
        <f>IF(N(B63)=0,"",B64/B63)</f>
        <v/>
      </c>
      <c r="C66" s="25" t="inlineStr">
        <is>
          <t>%</t>
        </is>
      </c>
      <c r="D66" s="25" t="inlineStr">
        <is>
          <t>DERIVED</t>
        </is>
      </c>
      <c r="E66" s="26" t="inlineStr">
        <is>
          <t>(Links sent / Qualified convos) * 100</t>
        </is>
      </c>
      <c r="F66" s="26" t="inlineStr">
        <is>
          <t>hub-operating-metrics.tsx InboundVelocityCard line 240: linkRate = qualified&gt;0 ? (links/qualified)*100 : 0</t>
        </is>
      </c>
      <c r="G66" s="26" t="inlineStr">
        <is>
          <t>selected date range</t>
        </is>
      </c>
      <c r="H66" s="27" t="inlineStr">
        <is>
          <t>LIVE</t>
        </is>
      </c>
      <c r="I66" s="28" t="inlineStr">
        <is>
          <t>MAIN-0043</t>
        </is>
      </c>
    </row>
    <row r="67" ht="30" customHeight="1">
      <c r="A67" s="29" t="inlineStr">
        <is>
          <t>Daily inbound volume pace</t>
        </is>
      </c>
      <c r="B67" s="37" t="n"/>
      <c r="C67" s="31" t="inlineStr">
        <is>
          <t>count per day (given unit=% is wrong)</t>
        </is>
      </c>
      <c r="D67" s="31" t="inlineStr">
        <is>
          <t>DERIVED</t>
        </is>
      </c>
      <c r="E67" s="32" t="inlineStr">
        <is>
          <t>totals.apps / number of days in the daily series (i.e. average apps/day over the selected range)</t>
        </is>
      </c>
      <c r="F67" s="32" t="inlineStr">
        <is>
          <t>hub-operating-metrics.tsx InboundVelocityCard line 241: volumePace = series.length&gt;0 ? inboundLeads/series.length : 0</t>
        </is>
      </c>
      <c r="G67" s="32" t="inlineStr">
        <is>
          <t>selected date range</t>
        </is>
      </c>
      <c r="H67" s="27" t="inlineStr">
        <is>
          <t>LIVE</t>
        </is>
      </c>
      <c r="I67" s="33" t="inlineStr">
        <is>
          <t>MAIN-0044</t>
        </is>
      </c>
    </row>
    <row r="68" ht="30" customHeight="1">
      <c r="A68" s="23" t="inlineStr">
        <is>
          <t>Top inbound setter</t>
        </is>
      </c>
      <c r="B68" s="24" t="inlineStr">
        <is>
          <t>n/a</t>
        </is>
      </c>
      <c r="C68" s="25" t="inlineStr">
        <is>
          <t>n/a</t>
        </is>
      </c>
      <c r="D68" s="25" t="inlineStr">
        <is>
          <t>OTHER</t>
        </is>
      </c>
      <c r="E68" s="26" t="inlineStr">
        <is>
          <t>the render block is gated on {topSetter &amp;&amp; (...)}; since topSetter is always undefined at the one call site, this block never renders</t>
        </is>
      </c>
      <c r="F68" s="26" t="inlineStr">
        <is>
          <t>hub-operating-metrics.tsx InboundVelocityCard prop topSetter (lines 230-234, 381-393 render block), but the ONLY call site (HubOperatingMetrics render at line 996) invokes &lt;InboundVelocityCard totals={t} series={inboundSeries} /&gt; with NO topSetter prop passed</t>
        </is>
      </c>
      <c r="G68" s="26" t="inlineStr">
        <is>
          <t>n/a</t>
        </is>
      </c>
      <c r="H68" s="36" t="inlineStr">
        <is>
          <t>NOT AVAILABLE</t>
        </is>
      </c>
      <c r="I68" s="28" t="inlineStr">
        <is>
          <t>MAIN-0045</t>
        </is>
      </c>
    </row>
    <row r="69" ht="6" customHeight="1"/>
    <row r="70" ht="20" customHeight="1">
      <c r="A70" s="22" t="inlineStr">
        <is>
          <t>CLIENT MOMENTUM</t>
        </is>
      </c>
    </row>
    <row r="71" ht="30" customHeight="1">
      <c r="A71" s="29" t="inlineStr">
        <is>
          <t>Active Clients</t>
        </is>
      </c>
      <c r="B71" s="37" t="n"/>
      <c r="C71" s="31" t="inlineStr">
        <is>
          <t>count</t>
        </is>
      </c>
      <c r="D71" s="31" t="inlineStr">
        <is>
          <t>RAW</t>
        </is>
      </c>
      <c r="E71" s="32" t="inlineStr">
        <is>
          <t>count of clients rows where status='active'</t>
        </is>
      </c>
      <c r="F71" s="32" t="inlineStr">
        <is>
          <t>hub-operating-metrics.tsx line 667: clientRows.filter(c=&gt;c.status==='active').length</t>
        </is>
      </c>
      <c r="G71" s="32" t="inlineStr">
        <is>
          <t>none/point-in-time (query has no date filter; hub-operating-metrics.tsx:617 fetches all clients for the org)</t>
        </is>
      </c>
      <c r="H71" s="27" t="inlineStr">
        <is>
          <t>LIVE</t>
        </is>
      </c>
      <c r="I71" s="33" t="inlineStr">
        <is>
          <t>MAIN-0046</t>
        </is>
      </c>
    </row>
    <row r="72" ht="30" customHeight="1">
      <c r="A72" s="23" t="inlineStr">
        <is>
          <t>Client Health</t>
        </is>
      </c>
      <c r="B72" s="37" t="n"/>
      <c r="C72" s="25" t="inlineStr">
        <is>
          <t>score (unitless 0-100)</t>
        </is>
      </c>
      <c r="D72" s="25" t="inlineStr">
        <is>
          <t>AGGREGATED</t>
        </is>
      </c>
      <c r="E72" s="26" t="inlineStr">
        <is>
          <t>average of clients.health_score across active-query result set (all clients, not just active)</t>
        </is>
      </c>
      <c r="F72" s="26" t="inlineStr">
        <is>
          <t>hub-operating-metrics.tsx lines 668-671: avg of clients.health_score for rows with health_score&gt;0</t>
        </is>
      </c>
      <c r="G72" s="26" t="inlineStr">
        <is>
          <t>none/point-in-time</t>
        </is>
      </c>
      <c r="H72" s="38" t="inlineStr">
        <is>
          <t>PARTIALLY CONNECTED</t>
        </is>
      </c>
      <c r="I72" s="28" t="inlineStr">
        <is>
          <t>MAIN-0047</t>
        </is>
      </c>
    </row>
    <row r="73" ht="30" customHeight="1">
      <c r="A73" s="29" t="inlineStr">
        <is>
          <t>Daily W Logs</t>
        </is>
      </c>
      <c r="B73" s="37" t="n"/>
      <c r="C73" s="31" t="inlineStr">
        <is>
          <t>count</t>
        </is>
      </c>
      <c r="D73" s="31" t="inlineStr">
        <is>
          <t>RAW</t>
        </is>
      </c>
      <c r="E73" s="32" t="inlineStr">
        <is>
          <t>count of daily_wins rows in range</t>
        </is>
      </c>
      <c r="F73" s="32" t="inlineStr">
        <is>
          <t>hub-operating-metrics.tsx totals.wins = wins.length (line 198); wins query lines 611-616</t>
        </is>
      </c>
      <c r="G73" s="32" t="inlineStr">
        <is>
          <t>selected date range</t>
        </is>
      </c>
      <c r="H73" s="27" t="inlineStr">
        <is>
          <t>LIVE</t>
        </is>
      </c>
      <c r="I73" s="33" t="inlineStr">
        <is>
          <t>MAIN-0048</t>
        </is>
      </c>
    </row>
    <row r="74" ht="30" customHeight="1">
      <c r="A74" s="23" t="inlineStr">
        <is>
          <t>Financial Wins</t>
        </is>
      </c>
      <c r="B74" s="37" t="n"/>
      <c r="C74" s="25" t="inlineStr">
        <is>
          <t>count</t>
        </is>
      </c>
      <c r="D74" s="25" t="inlineStr">
        <is>
          <t>RAW</t>
        </is>
      </c>
      <c r="E74" s="26" t="inlineStr">
        <is>
          <t>count of daily_wins rows whose win_types array includes 'financial'</t>
        </is>
      </c>
      <c r="F74" s="26" t="inlineStr">
        <is>
          <t>hub-operating-metrics.tsx line 174: wins.filter(w=&gt;(w.win_types??[]).includes('financial')).length</t>
        </is>
      </c>
      <c r="G74" s="26" t="inlineStr">
        <is>
          <t>selected date range</t>
        </is>
      </c>
      <c r="H74" s="27" t="inlineStr">
        <is>
          <t>LIVE</t>
        </is>
      </c>
      <c r="I74" s="28" t="inlineStr">
        <is>
          <t>MAIN-0049</t>
        </is>
      </c>
    </row>
    <row r="75" ht="30" customHeight="1">
      <c r="A75" s="29" t="inlineStr">
        <is>
          <t>Student Cash Logged</t>
        </is>
      </c>
      <c r="B75" s="34" t="n"/>
      <c r="C75" s="31" t="inlineStr">
        <is>
          <t>$</t>
        </is>
      </c>
      <c r="D75" s="31" t="inlineStr">
        <is>
          <t>RAW</t>
        </is>
      </c>
      <c r="E75" s="32" t="inlineStr">
        <is>
          <t>sum of daily_wins.financial_amount_cents</t>
        </is>
      </c>
      <c r="F75" s="32" t="inlineStr">
        <is>
          <t>hub-operating-metrics.tsx line 175: winCash = wins.reduce(...financial_amount_cents)</t>
        </is>
      </c>
      <c r="G75" s="32" t="inlineStr">
        <is>
          <t>selected date range</t>
        </is>
      </c>
      <c r="H75" s="27" t="inlineStr">
        <is>
          <t>LIVE</t>
        </is>
      </c>
      <c r="I75" s="33" t="inlineStr">
        <is>
          <t>MAIN-0050</t>
        </is>
      </c>
    </row>
    <row r="76" ht="30" customHeight="1">
      <c r="A76" s="23" t="inlineStr">
        <is>
          <t>Avg Energy</t>
        </is>
      </c>
      <c r="B76" s="37" t="n"/>
      <c r="C76" s="25" t="inlineStr">
        <is>
          <t>score 1-10 (given unit=% is wrong)</t>
        </is>
      </c>
      <c r="D76" s="25" t="inlineStr">
        <is>
          <t>AGGREGATED</t>
        </is>
      </c>
      <c r="E76" s="26" t="inlineStr">
        <is>
          <t>average of daily_wins.energy_score across win rows in range</t>
        </is>
      </c>
      <c r="F76" s="26" t="inlineStr">
        <is>
          <t>hub-operating-metrics.tsx lines 176-179: avg of daily_wins.energy_score for rows&gt;0</t>
        </is>
      </c>
      <c r="G76" s="26" t="inlineStr">
        <is>
          <t>selected date range</t>
        </is>
      </c>
      <c r="H76" s="27" t="inlineStr">
        <is>
          <t>LIVE</t>
        </is>
      </c>
      <c r="I76" s="28" t="inlineStr">
        <is>
          <t>MAIN-0051</t>
        </is>
      </c>
    </row>
    <row r="77" ht="6" customHeight="1"/>
    <row r="78" ht="20" customHeight="1">
      <c r="A78" s="22" t="inlineStr">
        <is>
          <t>CONTENT ATTRIBUTION (LEVEL 3)</t>
        </is>
      </c>
    </row>
    <row r="79" ht="30" customHeight="1">
      <c r="A79" s="29" t="inlineStr">
        <is>
          <t>Revenue by Source (by platform)</t>
        </is>
      </c>
      <c r="B79" s="34" t="n"/>
      <c r="C79" s="31" t="inlineStr">
        <is>
          <t>$ (the row itself is a grouping, not one scalar)</t>
        </is>
      </c>
      <c r="D79" s="31" t="inlineStr">
        <is>
          <t>AGGREGATED</t>
        </is>
      </c>
      <c r="E79" s="32" t="inlineStr">
        <is>
          <t>revenue/cash grouped by content_pieces platform (resolved via normalizeSocialPlatform on content_pieces.platform/source_platform) across the selected attribution model's canonical paths</t>
        </is>
      </c>
      <c r="F79" s="32" t="inlineStr">
        <is>
          <t>dashboard.tsx revenueBySourceRows useMemo (lines 1573-1618), built via aggregateCashByPlatform (src/lib/content-attribution.ts:259)</t>
        </is>
      </c>
      <c r="G79" s="32" t="inlineStr">
        <is>
          <t>selected date range</t>
        </is>
      </c>
      <c r="H79" s="27" t="inlineStr">
        <is>
          <t>LIVE</t>
        </is>
      </c>
      <c r="I79" s="33" t="inlineStr">
        <is>
          <t>MAIN-0052</t>
        </is>
      </c>
    </row>
    <row r="80" ht="30" customHeight="1">
      <c r="A80" s="23" t="inlineStr">
        <is>
          <t>confidence</t>
        </is>
      </c>
      <c r="B80" s="24" t="inlineStr">
        <is>
          <t>n/a</t>
        </is>
      </c>
      <c r="C80" s="25" t="inlineStr">
        <is>
          <t>enum (high/medium/low/unknown); given unit=count is wrong</t>
        </is>
      </c>
      <c r="D80" s="25" t="inlineStr">
        <is>
          <t>STATUS</t>
        </is>
      </c>
      <c r="E80" s="26" t="inlineStr">
        <is>
          <t>strength = 'high' if coverage='direct' AND knownTouchpoints&gt;=3; 'medium' if coverage is 'direct' or 'partial'; 'low' if coverage='inferred'; else 'unknown'. coverage derives from directOutcomeLinked + supportingEvents.length + inferred flags. Per-platform value shown is the MODAL (most common) st...</t>
        </is>
      </c>
      <c r="F80" s="26" t="inlineStr">
        <is>
          <t>src/lib/acquisition.ts evaluateAttributionEvidence() lines 173-215 (strength computation lines 194-201); surfaced per-platform via modalStrength() in dashboard.tsx lines 1601-1607</t>
        </is>
      </c>
      <c r="G80" s="26" t="inlineStr">
        <is>
          <t>selected date range</t>
        </is>
      </c>
      <c r="H80" s="27" t="inlineStr">
        <is>
          <t>LIVE</t>
        </is>
      </c>
      <c r="I80" s="28" t="inlineStr">
        <is>
          <t>MAIN-0053</t>
        </is>
      </c>
    </row>
    <row r="81" ht="30" customHeight="1">
      <c r="A81" s="29" t="inlineStr">
        <is>
          <t>closes</t>
        </is>
      </c>
      <c r="B81" s="37" t="n"/>
      <c r="C81" s="31" t="inlineStr">
        <is>
          <t>count</t>
        </is>
      </c>
      <c r="D81" s="31" t="inlineStr">
        <is>
          <t>RAW</t>
        </is>
      </c>
      <c r="E81" s="32" t="inlineStr">
        <is>
          <t>count of closed calls attributed to each platform under the selected model</t>
        </is>
      </c>
      <c r="F81" s="32" t="inlineStr">
        <is>
          <t>dashboard.tsx revenueBySourceRows line 1613: closes = row.callCount from aggregateCashByPlatform</t>
        </is>
      </c>
      <c r="G81" s="32" t="inlineStr">
        <is>
          <t>selected date range</t>
        </is>
      </c>
      <c r="H81" s="27" t="inlineStr">
        <is>
          <t>LIVE</t>
        </is>
      </c>
      <c r="I81" s="33" t="inlineStr">
        <is>
          <t>MAIN-0054</t>
        </is>
      </c>
    </row>
    <row r="82" ht="30" customHeight="1">
      <c r="A82" s="23" t="inlineStr">
        <is>
          <t>rev</t>
        </is>
      </c>
      <c r="B82" s="34" t="n"/>
      <c r="C82" s="25" t="inlineStr">
        <is>
          <t>$ (given unit=count is wrong)</t>
        </is>
      </c>
      <c r="D82" s="25" t="inlineStr">
        <is>
          <t>RAW</t>
        </is>
      </c>
      <c r="E82" s="26" t="inlineStr">
        <is>
          <t>sum of calls.contract_value_cents attributed to each platform under the selected model</t>
        </is>
      </c>
      <c r="F82" s="26" t="inlineStr">
        <is>
          <t>dashboard.tsx revenueBySourceRows line 1612 (revenueCents from aggregateCashByPlatform over contract_value_cents)</t>
        </is>
      </c>
      <c r="G82" s="26" t="inlineStr">
        <is>
          <t>selected date range</t>
        </is>
      </c>
      <c r="H82" s="27" t="inlineStr">
        <is>
          <t>LIVE</t>
        </is>
      </c>
      <c r="I82" s="28" t="inlineStr">
        <is>
          <t>MAIN-0055</t>
        </is>
      </c>
    </row>
    <row r="83" ht="30" customHeight="1">
      <c r="A83" s="29" t="inlineStr">
        <is>
          <t>cash</t>
        </is>
      </c>
      <c r="B83" s="34" t="n"/>
      <c r="C83" s="31" t="inlineStr">
        <is>
          <t>$</t>
        </is>
      </c>
      <c r="D83" s="31" t="inlineStr">
        <is>
          <t>RAW</t>
        </is>
      </c>
      <c r="E83" s="32" t="inlineStr">
        <is>
          <t>sum of calls.cash_collected_cents attributed to each platform under the selected model</t>
        </is>
      </c>
      <c r="F83" s="32" t="inlineStr">
        <is>
          <t>dashboard.tsx revenueBySourceRows (cashCents from aggregateCashByPlatform over cash_collected_cents)</t>
        </is>
      </c>
      <c r="G83" s="32" t="inlineStr">
        <is>
          <t>selected date range</t>
        </is>
      </c>
      <c r="H83" s="27" t="inlineStr">
        <is>
          <t>LIVE</t>
        </is>
      </c>
      <c r="I83" s="33" t="inlineStr">
        <is>
          <t>MAIN-0056</t>
        </is>
      </c>
    </row>
    <row r="84" ht="30" customHeight="1">
      <c r="A84" s="23" t="inlineStr">
        <is>
          <t>Content table — Views</t>
        </is>
      </c>
      <c r="B84" s="37" t="n"/>
      <c r="C84" s="25" t="inlineStr">
        <is>
          <t>count</t>
        </is>
      </c>
      <c r="D84" s="25" t="inlineStr">
        <is>
          <t>RAW</t>
        </is>
      </c>
      <c r="E84" s="26" t="inlineStr">
        <is>
          <t>sum of content_metrics.views per content piece</t>
        </is>
      </c>
      <c r="F84" s="26" t="inlineStr">
        <is>
          <t>dashboard.tsx attributionRows useMemo (lines 1513-1561); meta.views from contentMeta map built off content_metrics joined to content_pieces (lines 1266-1267,1294-1309)</t>
        </is>
      </c>
      <c r="G84" s="26" t="inlineStr">
        <is>
          <t>selected date range</t>
        </is>
      </c>
      <c r="H84" s="27" t="inlineStr">
        <is>
          <t>LIVE</t>
        </is>
      </c>
      <c r="I84" s="28" t="inlineStr">
        <is>
          <t>MAIN-0057</t>
        </is>
      </c>
    </row>
    <row r="85" ht="30" customHeight="1">
      <c r="A85" s="29" t="inlineStr">
        <is>
          <t>Leads</t>
        </is>
      </c>
      <c r="B85" s="37" t="n"/>
      <c r="C85" s="31" t="inlineStr">
        <is>
          <t>count</t>
        </is>
      </c>
      <c r="D85" s="31" t="inlineStr">
        <is>
          <t>RAW</t>
        </is>
      </c>
      <c r="E85" s="32" t="inlineStr">
        <is>
          <t>count of distinct leads whose canonical attribution path resolves to this content under the selected model</t>
        </is>
      </c>
      <c r="F85" s="32" t="inlineStr">
        <is>
          <t>dashboard.tsx attributionRows line 1550: leadsByContent (distinct personKey count per content from canonical attribution paths)</t>
        </is>
      </c>
      <c r="G85" s="32" t="inlineStr">
        <is>
          <t>selected date range</t>
        </is>
      </c>
      <c r="H85" s="27" t="inlineStr">
        <is>
          <t>LIVE</t>
        </is>
      </c>
      <c r="I85" s="33" t="inlineStr">
        <is>
          <t>MAIN-0058</t>
        </is>
      </c>
    </row>
    <row r="86" ht="30" customHeight="1">
      <c r="A86" s="23" t="inlineStr">
        <is>
          <t>Booked</t>
        </is>
      </c>
      <c r="B86" s="37" t="n"/>
      <c r="C86" s="25" t="inlineStr">
        <is>
          <t>count</t>
        </is>
      </c>
      <c r="D86" s="25" t="inlineStr">
        <is>
          <t>RAW</t>
        </is>
      </c>
      <c r="E86" s="26" t="inlineStr">
        <is>
          <t>count of calls whose calls.source_content_id equals this content id</t>
        </is>
      </c>
      <c r="F86" s="26" t="inlineStr">
        <is>
          <t>dashboard.tsx attributionRows line 1551: attribution.bookedByContent, built from ALL calls' own direct source_content_id field (lines 1310-1317)</t>
        </is>
      </c>
      <c r="G86" s="26" t="inlineStr">
        <is>
          <t>selected date range</t>
        </is>
      </c>
      <c r="H86" s="27" t="inlineStr">
        <is>
          <t>LIVE</t>
        </is>
      </c>
      <c r="I86" s="28" t="inlineStr">
        <is>
          <t>MAIN-0059</t>
        </is>
      </c>
    </row>
    <row r="87" ht="30" customHeight="1">
      <c r="A87" s="29" t="inlineStr">
        <is>
          <t>Shows</t>
        </is>
      </c>
      <c r="B87" s="37" t="n"/>
      <c r="C87" s="31" t="inlineStr">
        <is>
          <t>count</t>
        </is>
      </c>
      <c r="D87" s="31" t="inlineStr">
        <is>
          <t>RAW</t>
        </is>
      </c>
      <c r="E87" s="32" t="inlineStr">
        <is>
          <t>count of calls with showed=true whose source_content_id equals this content id</t>
        </is>
      </c>
      <c r="F87" s="32" t="inlineStr">
        <is>
          <t>dashboard.tsx attributionRows line 1552: attribution.showedByContent (calls.showed=true grouped by source_content_id)</t>
        </is>
      </c>
      <c r="G87" s="32" t="inlineStr">
        <is>
          <t>selected date range</t>
        </is>
      </c>
      <c r="H87" s="27" t="inlineStr">
        <is>
          <t>LIVE</t>
        </is>
      </c>
      <c r="I87" s="33" t="inlineStr">
        <is>
          <t>MAIN-0060</t>
        </is>
      </c>
    </row>
    <row r="88" ht="30" customHeight="1">
      <c r="A88" s="23" t="inlineStr">
        <is>
          <t>Closes</t>
        </is>
      </c>
      <c r="B88" s="37" t="n"/>
      <c r="C88" s="25" t="inlineStr">
        <is>
          <t>count</t>
        </is>
      </c>
      <c r="D88" s="25" t="inlineStr">
        <is>
          <t>RAW</t>
        </is>
      </c>
      <c r="E88" s="26" t="inlineStr">
        <is>
          <t>count of distinct closed calls per content under the selected model</t>
        </is>
      </c>
      <c r="F88" s="26" t="inlineStr">
        <is>
          <t>dashboard.tsx attributionRows line 1553: closesByContent (distinct callId count from canonical paths where closed)</t>
        </is>
      </c>
      <c r="G88" s="26" t="inlineStr">
        <is>
          <t>selected date range</t>
        </is>
      </c>
      <c r="H88" s="27" t="inlineStr">
        <is>
          <t>LIVE</t>
        </is>
      </c>
      <c r="I88" s="28" t="inlineStr">
        <is>
          <t>MAIN-0061</t>
        </is>
      </c>
    </row>
    <row r="89" ht="30" customHeight="1">
      <c r="A89" s="29" t="inlineStr">
        <is>
          <t>Cash</t>
        </is>
      </c>
      <c r="B89" s="34" t="n"/>
      <c r="C89" s="31" t="inlineStr">
        <is>
          <t>$</t>
        </is>
      </c>
      <c r="D89" s="31" t="inlineStr">
        <is>
          <t>RAW</t>
        </is>
      </c>
      <c r="E89" s="32" t="inlineStr">
        <is>
          <t>sum of calls.cash_collected_cents attributed per content under the selected model</t>
        </is>
      </c>
      <c r="F89" s="32" t="inlineStr">
        <is>
          <t>dashboard.tsx attributionRows line 1554 (cashByContent from aggregateCashByContent over cash_collected_cents)</t>
        </is>
      </c>
      <c r="G89" s="32" t="inlineStr">
        <is>
          <t>selected date range</t>
        </is>
      </c>
      <c r="H89" s="27" t="inlineStr">
        <is>
          <t>LIVE</t>
        </is>
      </c>
      <c r="I89" s="33" t="inlineStr">
        <is>
          <t>MAIN-0062</t>
        </is>
      </c>
    </row>
    <row r="90" ht="30" customHeight="1">
      <c r="A90" s="23" t="inlineStr">
        <is>
          <t>Revenue</t>
        </is>
      </c>
      <c r="B90" s="34" t="n"/>
      <c r="C90" s="25" t="inlineStr">
        <is>
          <t>$</t>
        </is>
      </c>
      <c r="D90" s="25" t="inlineStr">
        <is>
          <t>RAW</t>
        </is>
      </c>
      <c r="E90" s="26" t="inlineStr">
        <is>
          <t>sum of calls.contract_value_cents attributed per content under the selected model</t>
        </is>
      </c>
      <c r="F90" s="26" t="inlineStr">
        <is>
          <t>dashboard.tsx attributionRows line 1555 (revenueByContent from aggregateCashByContent over contract_value_cents)</t>
        </is>
      </c>
      <c r="G90" s="26" t="inlineStr">
        <is>
          <t>selected date range</t>
        </is>
      </c>
      <c r="H90" s="27" t="inlineStr">
        <is>
          <t>LIVE</t>
        </is>
      </c>
      <c r="I90" s="28" t="inlineStr">
        <is>
          <t>MAIN-0063</t>
        </is>
      </c>
    </row>
    <row r="91" ht="6" customHeight="1"/>
    <row r="92" ht="20" customHeight="1">
      <c r="A92" s="22" t="inlineStr">
        <is>
          <t>FUNNEL DIAGNOSTIC (LEVEL 4)</t>
        </is>
      </c>
    </row>
    <row r="93" ht="30" customHeight="1">
      <c r="A93" s="29" t="inlineStr">
        <is>
          <t>Views</t>
        </is>
      </c>
      <c r="B93" s="37" t="n"/>
      <c r="C93" s="31" t="inlineStr">
        <is>
          <t>count</t>
        </is>
      </c>
      <c r="D93" s="31" t="inlineStr">
        <is>
          <t>RAW</t>
        </is>
      </c>
      <c r="E93" s="32">
        <f> content_metrics.views sum</f>
        <v/>
      </c>
      <c r="F93" s="32" t="inlineStr">
        <is>
          <t>dashboard.tsx funnel array line 973: curr.views (= MAIN-0018 Total Views)</t>
        </is>
      </c>
      <c r="G93" s="32" t="inlineStr">
        <is>
          <t>selected date range</t>
        </is>
      </c>
      <c r="H93" s="27" t="inlineStr">
        <is>
          <t>LIVE</t>
        </is>
      </c>
      <c r="I93" s="33" t="inlineStr">
        <is>
          <t>MAIN-0064</t>
        </is>
      </c>
    </row>
    <row r="94" ht="30" customHeight="1">
      <c r="A94" s="23" t="inlineStr">
        <is>
          <t>Leads</t>
        </is>
      </c>
      <c r="B94" s="37" t="n"/>
      <c r="C94" s="25" t="inlineStr">
        <is>
          <t>count</t>
        </is>
      </c>
      <c r="D94" s="25" t="inlineStr">
        <is>
          <t>RAW</t>
        </is>
      </c>
      <c r="E94" s="26">
        <f> leads count</f>
        <v/>
      </c>
      <c r="F94" s="26" t="inlineStr">
        <is>
          <t>dashboard.tsx funnel array line 975: curr.newLeads (= MAIN-0017 New Leads)</t>
        </is>
      </c>
      <c r="G94" s="26" t="inlineStr">
        <is>
          <t>selected date range</t>
        </is>
      </c>
      <c r="H94" s="27" t="inlineStr">
        <is>
          <t>LIVE</t>
        </is>
      </c>
      <c r="I94" s="28" t="inlineStr">
        <is>
          <t>MAIN-0065</t>
        </is>
      </c>
    </row>
    <row r="95" ht="30" customHeight="1">
      <c r="A95" s="29" t="inlineStr">
        <is>
          <t>Booked</t>
        </is>
      </c>
      <c r="B95" s="37" t="n"/>
      <c r="C95" s="31" t="inlineStr">
        <is>
          <t>count</t>
        </is>
      </c>
      <c r="D95" s="31" t="inlineStr">
        <is>
          <t>RAW</t>
        </is>
      </c>
      <c r="E95" s="32" t="inlineStr">
        <is>
          <t>Math.max(count of calls rows, sum of setter_activity.calls_on_calendar/sets)</t>
        </is>
      </c>
      <c r="F95" s="32" t="inlineStr">
        <is>
          <t>dashboard.tsx funnel array line 981: curr.totalCalls = Math.max(callsBooked, setterBooked) (fetchPeriod line 427)</t>
        </is>
      </c>
      <c r="G95" s="32" t="inlineStr">
        <is>
          <t>selected date range</t>
        </is>
      </c>
      <c r="H95" s="27" t="inlineStr">
        <is>
          <t>LIVE</t>
        </is>
      </c>
      <c r="I95" s="33" t="inlineStr">
        <is>
          <t>MAIN-0066</t>
        </is>
      </c>
    </row>
    <row r="96" ht="30" customHeight="1">
      <c r="A96" s="23" t="inlineStr">
        <is>
          <t>Showed</t>
        </is>
      </c>
      <c r="B96" s="37" t="n"/>
      <c r="C96" s="25" t="inlineStr">
        <is>
          <t>count</t>
        </is>
      </c>
      <c r="D96" s="25" t="inlineStr">
        <is>
          <t>RAW</t>
        </is>
      </c>
      <c r="E96" s="26" t="inlineStr">
        <is>
          <t>Math.max(calls.showed=true count, sum of setter_activity.live_calls)</t>
        </is>
      </c>
      <c r="F96" s="26" t="inlineStr">
        <is>
          <t>dashboard.tsx funnel array line 986: curr.showed = Math.max(callsShowed, setterShowed)</t>
        </is>
      </c>
      <c r="G96" s="26" t="inlineStr">
        <is>
          <t>selected date range</t>
        </is>
      </c>
      <c r="H96" s="27" t="inlineStr">
        <is>
          <t>LIVE</t>
        </is>
      </c>
      <c r="I96" s="28" t="inlineStr">
        <is>
          <t>MAIN-0067</t>
        </is>
      </c>
    </row>
    <row r="97" ht="30" customHeight="1">
      <c r="A97" s="29" t="inlineStr">
        <is>
          <t>Offers</t>
        </is>
      </c>
      <c r="B97" s="37" t="n"/>
      <c r="C97" s="31" t="inlineStr">
        <is>
          <t>count</t>
        </is>
      </c>
      <c r="D97" s="31" t="inlineStr">
        <is>
          <t>RAW</t>
        </is>
      </c>
      <c r="E97" s="32" t="inlineStr">
        <is>
          <t>count of calls.offer_made=true</t>
        </is>
      </c>
      <c r="F97" s="32" t="inlineStr">
        <is>
          <t>dashboard.tsx funnel array line 990: curr.offers = callsOffers = callList.filter(c=&gt;c.offer_made).length</t>
        </is>
      </c>
      <c r="G97" s="32" t="inlineStr">
        <is>
          <t>selected date range</t>
        </is>
      </c>
      <c r="H97" s="27" t="inlineStr">
        <is>
          <t>LIVE</t>
        </is>
      </c>
      <c r="I97" s="33" t="inlineStr">
        <is>
          <t>MAIN-0068</t>
        </is>
      </c>
    </row>
    <row r="98" ht="30" customHeight="1">
      <c r="A98" s="23" t="inlineStr">
        <is>
          <t>Disqualified</t>
        </is>
      </c>
      <c r="B98" s="37" t="n"/>
      <c r="C98" s="25" t="inlineStr">
        <is>
          <t>count</t>
        </is>
      </c>
      <c r="D98" s="25" t="inlineStr">
        <is>
          <t>RAW</t>
        </is>
      </c>
      <c r="E98" s="26" t="inlineStr">
        <is>
          <t>count of distinct leads with leads.status='disqualified' OR a linked calls.status='disqualified' row (deduped by lead id); a separate 'unattributed' count covers disqualified calls with no lead_id</t>
        </is>
      </c>
      <c r="F98" s="26" t="inlineStr">
        <is>
          <t>src/lib/disqualification.ts disqualifiedLeadCount()/computeDisqualified(), called at dashboard.tsx:439</t>
        </is>
      </c>
      <c r="G98" s="26" t="inlineStr">
        <is>
          <t>selected date range</t>
        </is>
      </c>
      <c r="H98" s="27" t="inlineStr">
        <is>
          <t>LIVE</t>
        </is>
      </c>
      <c r="I98" s="28" t="inlineStr">
        <is>
          <t>MAIN-0069</t>
        </is>
      </c>
    </row>
    <row r="99" ht="30" customHeight="1">
      <c r="A99" s="29" t="inlineStr">
        <is>
          <t>Closed</t>
        </is>
      </c>
      <c r="B99" s="37" t="n"/>
      <c r="C99" s="31" t="inlineStr">
        <is>
          <t>count</t>
        </is>
      </c>
      <c r="D99" s="31" t="inlineStr">
        <is>
          <t>RAW</t>
        </is>
      </c>
      <c r="E99" s="32" t="inlineStr">
        <is>
          <t>Math.max(calls.closed=true count, sum of setter_activity.closes)</t>
        </is>
      </c>
      <c r="F99" s="32" t="inlineStr">
        <is>
          <t>dashboard.tsx funnel array line 1006: curr.closed = Math.max(callsClosed, setterClosed)</t>
        </is>
      </c>
      <c r="G99" s="32" t="inlineStr">
        <is>
          <t>selected date range</t>
        </is>
      </c>
      <c r="H99" s="27" t="inlineStr">
        <is>
          <t>LIVE</t>
        </is>
      </c>
      <c r="I99" s="33" t="inlineStr">
        <is>
          <t>MAIN-0070</t>
        </is>
      </c>
    </row>
    <row r="100" ht="30" customHeight="1">
      <c r="A100" s="23" t="inlineStr">
        <is>
          <t>Largest funnel leak</t>
        </is>
      </c>
      <c r="B100" s="37" t="n"/>
      <c r="C100" s="25" t="inlineStr">
        <is>
          <t>text sentence + implied count/$ estimate</t>
        </is>
      </c>
      <c r="D100" s="25" t="inlineStr">
        <is>
          <t>DERIVED</t>
        </is>
      </c>
      <c r="E100" s="26" t="inlineStr">
        <is>
          <t>finds the adjacent stage pair (within Leads -&gt; Booked -&gt; Showed -&gt; Offers -&gt; Closed, excluding Views and Disqualified) with the LOWEST conversion rate, gated on the upstream stage clearing minCapSample (workspace_settings.funnel_instrument.minCapSample); deriveCap() then computes lost=PP.value-P....</t>
        </is>
      </c>
      <c r="F100" s="26" t="inlineStr">
        <is>
          <t>src/lib/funnel-derivation.ts deriveCap() (lines 35-65), invoked via leakCapIndex/leakCap useMemo in dashboard.tsx lines 1485-1499</t>
        </is>
      </c>
      <c r="G100" s="26" t="inlineStr">
        <is>
          <t>selected date range</t>
        </is>
      </c>
      <c r="H100" s="27" t="inlineStr">
        <is>
          <t>LIVE</t>
        </is>
      </c>
      <c r="I100" s="28" t="inlineStr">
        <is>
          <t>MAIN-0071</t>
        </is>
      </c>
    </row>
    <row r="101" ht="6" customHeight="1"/>
    <row r="102" ht="20" customHeight="1">
      <c r="A102" s="22" t="inlineStr">
        <is>
          <t>EXECUTIVE INSIGHTS</t>
        </is>
      </c>
    </row>
    <row r="103" ht="30" customHeight="1">
      <c r="A103" s="29" t="inlineStr">
        <is>
          <t>at-risk/behind-pace flags</t>
        </is>
      </c>
      <c r="B103" s="30" t="inlineStr">
        <is>
          <t>n/a</t>
        </is>
      </c>
      <c r="C103" s="31" t="inlineStr">
        <is>
          <t>text (status-driven UI condition); given unit=% is wrong</t>
        </is>
      </c>
      <c r="D103" s="31" t="inlineStr">
        <is>
          <t>ALERT</t>
        </is>
      </c>
      <c r="E103" s="32" t="inlineStr">
        <is>
          <t>deterministic rule: IF targetProgress.status is 'behind' or 'at_risk' (from MAIN-0011's computeTargetProgress) THEN push an insight card; if list is empty renders 'All clear'</t>
        </is>
      </c>
      <c r="F103" s="32" t="inlineStr">
        <is>
          <t>dashboard.tsx ExecutiveInsights() function (lines 2855+), specifically the pace insight at lines 2882-2904</t>
        </is>
      </c>
      <c r="G103" s="32" t="inlineStr">
        <is>
          <t>current calendar month (inherits targetProgress's window)</t>
        </is>
      </c>
      <c r="H103" s="27" t="inlineStr">
        <is>
          <t>LIVE</t>
        </is>
      </c>
      <c r="I103" s="33" t="inlineStr">
        <is>
          <t>MAIN-0072</t>
        </is>
      </c>
    </row>
    <row r="104" ht="6" customHeight="1"/>
    <row r="105" ht="20" customHeight="1">
      <c r="A105" s="22" t="inlineStr">
        <is>
          <t>TEAM EFFICIENCY</t>
        </is>
      </c>
    </row>
    <row r="106" ht="30" customHeight="1">
      <c r="A106" s="23" t="inlineStr">
        <is>
          <t>Top closers (Closes)</t>
        </is>
      </c>
      <c r="B106" s="37" t="n"/>
      <c r="C106" s="25" t="inlineStr">
        <is>
          <t>count</t>
        </is>
      </c>
      <c r="D106" s="25" t="inlineStr">
        <is>
          <t>AGGREGATED</t>
        </is>
      </c>
      <c r="E106" s="26" t="inlineStr">
        <is>
          <t>groups calls by closer_name; Closes = count where closed=true; ranked and sliced by whichever metric (closes/cash/revenue) is selected via closerMetric state</t>
        </is>
      </c>
      <c r="F106" s="26" t="inlineStr">
        <is>
          <t>dashboard.tsx lbData query (lines 1053-1123), closerMap built from calls.closer_name grouping</t>
        </is>
      </c>
      <c r="G106" s="26" t="inlineStr">
        <is>
          <t>independently-overridable leaderboard date range (defaults to page range, lbOverride state)</t>
        </is>
      </c>
      <c r="H106" s="27" t="inlineStr">
        <is>
          <t>LIVE</t>
        </is>
      </c>
      <c r="I106" s="28" t="inlineStr">
        <is>
          <t>MAIN-0073</t>
        </is>
      </c>
    </row>
    <row r="107" ht="30" customHeight="1">
      <c r="A107" s="29" t="inlineStr">
        <is>
          <t>Cash Collected</t>
        </is>
      </c>
      <c r="B107" s="34" t="n"/>
      <c r="C107" s="31" t="inlineStr">
        <is>
          <t>$</t>
        </is>
      </c>
      <c r="D107" s="31" t="inlineStr">
        <is>
          <t>RAW</t>
        </is>
      </c>
      <c r="E107" s="32" t="inlineStr">
        <is>
          <t>sum of calls.cash_collected_cents grouped by closer_name</t>
        </is>
      </c>
      <c r="F107" s="32" t="inlineStr">
        <is>
          <t>same lbData query as MAIN-0073: r.cash += c.cash_collected_cents</t>
        </is>
      </c>
      <c r="G107" s="32" t="inlineStr">
        <is>
          <t>leaderboard's own independent date range</t>
        </is>
      </c>
      <c r="H107" s="27" t="inlineStr">
        <is>
          <t>LIVE</t>
        </is>
      </c>
      <c r="I107" s="33" t="inlineStr">
        <is>
          <t>MAIN-0074</t>
        </is>
      </c>
    </row>
    <row r="108" ht="30" customHeight="1">
      <c r="A108" s="23" t="inlineStr">
        <is>
          <t>Revenue Generated</t>
        </is>
      </c>
      <c r="B108" s="34" t="n"/>
      <c r="C108" s="25" t="inlineStr">
        <is>
          <t>$ (given unit=% is wrong)</t>
        </is>
      </c>
      <c r="D108" s="25" t="inlineStr">
        <is>
          <t>RAW</t>
        </is>
      </c>
      <c r="E108" s="26" t="inlineStr">
        <is>
          <t>sum of calls.contract_value_cents grouped by closer_name</t>
        </is>
      </c>
      <c r="F108" s="26" t="inlineStr">
        <is>
          <t>same lbData query: r.revenue += c.contract_value_cents</t>
        </is>
      </c>
      <c r="G108" s="26" t="inlineStr">
        <is>
          <t>leaderboard's own independent date range</t>
        </is>
      </c>
      <c r="H108" s="27" t="inlineStr">
        <is>
          <t>LIVE</t>
        </is>
      </c>
      <c r="I108" s="28" t="inlineStr">
        <is>
          <t>MAIN-0075</t>
        </is>
      </c>
    </row>
    <row r="109" ht="30" customHeight="1">
      <c r="A109" s="29" t="inlineStr">
        <is>
          <t>Top setters (Sets)</t>
        </is>
      </c>
      <c r="B109" s="37" t="n"/>
      <c r="C109" s="31" t="inlineStr">
        <is>
          <t>count</t>
        </is>
      </c>
      <c r="D109" s="31" t="inlineStr">
        <is>
          <t>AGGREGATED</t>
        </is>
      </c>
      <c r="E109" s="32" t="inlineStr">
        <is>
          <t>groups setter_activity rows by team_member_name; Sets = sum of setter_activity.sets; ranked/sliced by selected metric</t>
        </is>
      </c>
      <c r="F109" s="32" t="inlineStr">
        <is>
          <t>dashboard.tsx lbData query, setterMap built from setter_activity.team_member_name grouping (lines 1106-1120)</t>
        </is>
      </c>
      <c r="G109" s="32" t="inlineStr">
        <is>
          <t>leaderboard's own independent date range</t>
        </is>
      </c>
      <c r="H109" s="27" t="inlineStr">
        <is>
          <t>LIVE</t>
        </is>
      </c>
      <c r="I109" s="33" t="inlineStr">
        <is>
          <t>MAIN-0076</t>
        </is>
      </c>
    </row>
    <row r="110" ht="30" customHeight="1">
      <c r="A110" s="23" t="inlineStr">
        <is>
          <t>Cash Collected</t>
        </is>
      </c>
      <c r="B110" s="34" t="n"/>
      <c r="C110" s="25" t="inlineStr">
        <is>
          <t>$</t>
        </is>
      </c>
      <c r="D110" s="25" t="inlineStr">
        <is>
          <t>RAW</t>
        </is>
      </c>
      <c r="E110" s="26" t="inlineStr">
        <is>
          <t>sum of setter_activity.cash_collected_cents grouped by team_member_name</t>
        </is>
      </c>
      <c r="F110" s="26" t="inlineStr">
        <is>
          <t>same lbData query: r.cash += a.cash_collected_cents</t>
        </is>
      </c>
      <c r="G110" s="26" t="inlineStr">
        <is>
          <t>leaderboard's own independent date range</t>
        </is>
      </c>
      <c r="H110" s="27" t="inlineStr">
        <is>
          <t>LIVE</t>
        </is>
      </c>
      <c r="I110" s="28" t="inlineStr">
        <is>
          <t>MAIN-0077</t>
        </is>
      </c>
    </row>
    <row r="111" ht="30" customHeight="1">
      <c r="A111" s="29" t="inlineStr">
        <is>
          <t>Revenue Generated</t>
        </is>
      </c>
      <c r="B111" s="34" t="n"/>
      <c r="C111" s="31" t="inlineStr">
        <is>
          <t>$ (given unit=% is wrong)</t>
        </is>
      </c>
      <c r="D111" s="31" t="inlineStr">
        <is>
          <t>RAW</t>
        </is>
      </c>
      <c r="E111" s="32" t="inlineStr">
        <is>
          <t>sum of setter_activity.total_revenue_cents grouped by team_member_name</t>
        </is>
      </c>
      <c r="F111" s="32" t="inlineStr">
        <is>
          <t>same lbData query: r.revenue += a.total_revenue_cents</t>
        </is>
      </c>
      <c r="G111" s="32" t="inlineStr">
        <is>
          <t>leaderboard's own independent date range</t>
        </is>
      </c>
      <c r="H111" s="27" t="inlineStr">
        <is>
          <t>LIVE</t>
        </is>
      </c>
      <c r="I111" s="33" t="inlineStr">
        <is>
          <t>MAIN-0078</t>
        </is>
      </c>
    </row>
    <row r="112" ht="6" customHeight="1"/>
  </sheetData>
  <autoFilter ref="A4:I111"/>
  <mergeCells count="15">
    <mergeCell ref="A29:I29"/>
    <mergeCell ref="A33:I33"/>
    <mergeCell ref="A10:I10"/>
    <mergeCell ref="A5:I5"/>
    <mergeCell ref="A46:I46"/>
    <mergeCell ref="A105:I105"/>
    <mergeCell ref="A102:I102"/>
    <mergeCell ref="A70:I70"/>
    <mergeCell ref="A92:I92"/>
    <mergeCell ref="A53:I53"/>
    <mergeCell ref="A39:I39"/>
    <mergeCell ref="A22:I22"/>
    <mergeCell ref="A61:I61"/>
    <mergeCell ref="A78:I78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Admin &gt; Home</t>
        </is>
      </c>
    </row>
    <row r="2">
      <c r="A2" s="21" t="inlineStr">
        <is>
          <t>37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ADMIN</t>
        </is>
      </c>
    </row>
    <row r="6" ht="30" customHeight="1">
      <c r="A6" s="23" t="inlineStr">
        <is>
          <t>Cash Collected</t>
        </is>
      </c>
      <c r="B6" s="34" t="n"/>
      <c r="C6" s="25" t="inlineStr">
        <is>
          <t>$</t>
        </is>
      </c>
      <c r="D6" s="25" t="inlineStr">
        <is>
          <t>RAW</t>
        </is>
      </c>
      <c r="E6" s="26" t="inlineStr">
        <is>
          <t>sum of payments.amount_cents where status='paid' and collected_at is today</t>
        </is>
      </c>
      <c r="F6" s="26" t="inlineStr">
        <is>
          <t>src/components/home/home-admin.tsx paymentsToday query (lines 36-51): supabase.from('payments').select(...).eq('org_id', orgId).eq('status','paid').gte/lte(collected_at, today)</t>
        </is>
      </c>
      <c r="G6" s="26" t="inlineStr">
        <is>
          <t>today only (hardcoded TODAY constant, not date-range-picker driven; Admin Home has no date range selector)</t>
        </is>
      </c>
      <c r="H6" s="27" t="inlineStr">
        <is>
          <t>LIVE</t>
        </is>
      </c>
      <c r="I6" s="28" t="inlineStr">
        <is>
          <t>ADMI-0798</t>
        </is>
      </c>
    </row>
    <row r="7" ht="30" customHeight="1">
      <c r="A7" s="29" t="inlineStr">
        <is>
          <t>Closes</t>
        </is>
      </c>
      <c r="B7" s="37" t="n"/>
      <c r="C7" s="31" t="inlineStr">
        <is>
          <t>count</t>
        </is>
      </c>
      <c r="D7" s="31" t="inlineStr">
        <is>
          <t>RAW</t>
        </is>
      </c>
      <c r="E7" s="32" t="inlineStr">
        <is>
          <t>count of today's calls where closed=true OR status='closed'</t>
        </is>
      </c>
      <c r="F7" s="32" t="inlineStr">
        <is>
          <t>home-admin.tsx calls query (lines 53-68): supabase.from('calls').select(...).eq('org_id', orgId).gte/lte(scheduled_for, today)</t>
        </is>
      </c>
      <c r="G7" s="32" t="inlineStr">
        <is>
          <t>today only (scheduled_for, not created_at)</t>
        </is>
      </c>
      <c r="H7" s="27" t="inlineStr">
        <is>
          <t>LIVE</t>
        </is>
      </c>
      <c r="I7" s="33" t="inlineStr">
        <is>
          <t>ADMI-0799</t>
        </is>
      </c>
    </row>
    <row r="8" ht="30" customHeight="1">
      <c r="A8" s="23" t="inlineStr">
        <is>
          <t>Active Mentees</t>
        </is>
      </c>
      <c r="B8" s="37" t="n"/>
      <c r="C8" s="25" t="inlineStr">
        <is>
          <t>count</t>
        </is>
      </c>
      <c r="D8" s="25" t="inlineStr">
        <is>
          <t>RAW</t>
        </is>
      </c>
      <c r="E8" s="26" t="inlineStr">
        <is>
          <t>count of clients rows with status='active' (capped at 500 by query limit)</t>
        </is>
      </c>
      <c r="F8" s="26" t="inlineStr">
        <is>
          <t>home-admin.tsx clients query (lines 70-86): .eq('org_id', orgId).eq('status','active').limit(500)</t>
        </is>
      </c>
      <c r="G8" s="26" t="inlineStr">
        <is>
          <t>none/point-in-time</t>
        </is>
      </c>
      <c r="H8" s="27" t="inlineStr">
        <is>
          <t>LIVE</t>
        </is>
      </c>
      <c r="I8" s="28" t="inlineStr">
        <is>
          <t>ADMI-0800</t>
        </is>
      </c>
    </row>
    <row r="9" ht="30" customHeight="1">
      <c r="A9" s="29" t="inlineStr">
        <is>
          <t>overdue-installment/renewal-risk alerts</t>
        </is>
      </c>
      <c r="B9" s="30" t="inlineStr">
        <is>
          <t>n/a</t>
        </is>
      </c>
      <c r="C9" s="31" t="inlineStr">
        <is>
          <t>count + $ (atRiskCents)</t>
        </is>
      </c>
      <c r="D9" s="31" t="inlineStr">
        <is>
          <t>ALERT</t>
        </is>
      </c>
      <c r="E9" s="32" t="inlineStr">
        <is>
          <t>two combined real signals: (1) renewalsAtRisk = clients where renewal_date is overdue OR (due within DEFAULT_RENEWAL_AT_RISK_DAYS=14 AND no renewal_conv_started); (2) overdueRows = buildRecoveryQueue() rows in buckets overdue_1_7/8_30/30_plus (days past expected_next_payment_date)</t>
        </is>
      </c>
      <c r="F9" s="32" t="inlineStr">
        <is>
          <t>home-admin.tsx lines 128-155: clientAtRiskReason (src/lib/client-risk.ts:38-48) for renewals, buildRecoveryQueue (src/lib/mentee-payments.ts:164+) for overdue installments</t>
        </is>
      </c>
      <c r="G9" s="32" t="inlineStr">
        <is>
          <t>none/point-in-time (computed from current date vs stored renewal_date/expected_next_payment_date; no date-range filter)</t>
        </is>
      </c>
      <c r="H9" s="27" t="inlineStr">
        <is>
          <t>LIVE</t>
        </is>
      </c>
      <c r="I9" s="33" t="inlineStr">
        <is>
          <t>ADMI-0801</t>
        </is>
      </c>
    </row>
    <row r="10" ht="30" customHeight="1">
      <c r="A10" s="23" t="inlineStr">
        <is>
          <t>Calls Today</t>
        </is>
      </c>
      <c r="B10" s="37" t="n"/>
      <c r="C10" s="25" t="inlineStr">
        <is>
          <t>count</t>
        </is>
      </c>
      <c r="D10" s="25" t="inlineStr">
        <is>
          <t>RAW</t>
        </is>
      </c>
      <c r="E10" s="26" t="inlineStr">
        <is>
          <t>count of all calls scheduled today (regardless of outcome)</t>
        </is>
      </c>
      <c r="F10" s="26" t="inlineStr">
        <is>
          <t>same calls query as ADMI-0799: calls.length</t>
        </is>
      </c>
      <c r="G10" s="26" t="inlineStr">
        <is>
          <t>today only</t>
        </is>
      </c>
      <c r="H10" s="27" t="inlineStr">
        <is>
          <t>LIVE</t>
        </is>
      </c>
      <c r="I10" s="28" t="inlineStr">
        <is>
          <t>ADMI-0802</t>
        </is>
      </c>
    </row>
    <row r="11" ht="30" customHeight="1">
      <c r="A11" s="29" t="inlineStr">
        <is>
          <t>Hiring Needs Grading</t>
        </is>
      </c>
      <c r="B11" s="37" t="n"/>
      <c r="C11" s="31" t="inlineStr">
        <is>
          <t>count</t>
        </is>
      </c>
      <c r="D11" s="31" t="inlineStr">
        <is>
          <t>RAW</t>
        </is>
      </c>
      <c r="E11" s="32" t="inlineStr">
        <is>
          <t>count of hiring_applicants rows where stage='needs_grading'</t>
        </is>
      </c>
      <c r="F11" s="32" t="inlineStr">
        <is>
          <t>home-admin.tsx hiringCounts query (lines 106-123): supabase.from('hiring_applicants').select('stage').eq('org_id', orgId)</t>
        </is>
      </c>
      <c r="G11" s="32" t="inlineStr">
        <is>
          <t>none/point-in-time</t>
        </is>
      </c>
      <c r="H11" s="27" t="inlineStr">
        <is>
          <t>LIVE</t>
        </is>
      </c>
      <c r="I11" s="33" t="inlineStr">
        <is>
          <t>ADMI-0803</t>
        </is>
      </c>
    </row>
    <row r="12" ht="30" customHeight="1">
      <c r="A12" s="23" t="inlineStr">
        <is>
          <t>Hiring Interview-Worthy</t>
        </is>
      </c>
      <c r="B12" s="37" t="n"/>
      <c r="C12" s="25" t="inlineStr">
        <is>
          <t>count</t>
        </is>
      </c>
      <c r="D12" s="25" t="inlineStr">
        <is>
          <t>RAW</t>
        </is>
      </c>
      <c r="E12" s="26" t="inlineStr">
        <is>
          <t>count of hiring_applicants rows where stage='interview_worthy'</t>
        </is>
      </c>
      <c r="F12" s="26" t="inlineStr">
        <is>
          <t>same hiringCounts query: stage==='interview_worthy' count</t>
        </is>
      </c>
      <c r="G12" s="26" t="inlineStr">
        <is>
          <t>none/point-in-time</t>
        </is>
      </c>
      <c r="H12" s="27" t="inlineStr">
        <is>
          <t>LIVE</t>
        </is>
      </c>
      <c r="I12" s="28" t="inlineStr">
        <is>
          <t>ADMI-0804</t>
        </is>
      </c>
    </row>
    <row r="13" ht="30" customHeight="1">
      <c r="A13" s="29" t="inlineStr">
        <is>
          <t>at-risk renewals</t>
        </is>
      </c>
      <c r="B13" s="30" t="inlineStr">
        <is>
          <t>n/a</t>
        </is>
      </c>
      <c r="C13" s="31" t="inlineStr">
        <is>
          <t>count</t>
        </is>
      </c>
      <c r="D13" s="31" t="inlineStr">
        <is>
          <t>ALERT</t>
        </is>
      </c>
      <c r="E13" s="32">
        <f> same renewalsAtRisk array as the renewal half of ADMI-0801</f>
        <v/>
      </c>
      <c r="F13" s="32" t="inlineStr">
        <is>
          <t>home-admin.tsx renewalsAtRisk (lines 128-133), rendered in the dedicated 'Renewals' HomeSection (lines 242-262)</t>
        </is>
      </c>
      <c r="G13" s="32" t="inlineStr">
        <is>
          <t>none/point-in-time</t>
        </is>
      </c>
      <c r="H13" s="27" t="inlineStr">
        <is>
          <t>LIVE</t>
        </is>
      </c>
      <c r="I13" s="33" t="inlineStr">
        <is>
          <t>ADMI-0805</t>
        </is>
      </c>
    </row>
    <row r="14" ht="6" customHeight="1"/>
    <row r="15" ht="20" customHeight="1">
      <c r="A15" s="22" t="inlineStr">
        <is>
          <t>CLOSER</t>
        </is>
      </c>
    </row>
    <row r="16" ht="30" customHeight="1">
      <c r="A16" s="23" t="inlineStr">
        <is>
          <t>Calls on Calendar</t>
        </is>
      </c>
      <c r="B16" s="37" t="n"/>
      <c r="C16" s="25" t="inlineStr">
        <is>
          <t>count</t>
        </is>
      </c>
      <c r="D16" s="25" t="inlineStr">
        <is>
          <t>RAW</t>
        </is>
      </c>
      <c r="E16" s="26" t="inlineStr">
        <is>
          <t>count of calls today (todayCalls, filtered scheduled_for=today &amp;&amp; !cancelled) attributed to the self-selected closer_name</t>
        </is>
      </c>
      <c r="F16" s="26" t="inlineStr">
        <is>
          <t>src/components/home/home-closer.tsx calls query (lines 87-105): .eq('org_id', orgId).eq('closer_name', repName).gte(scheduled_for, rangeFrom)</t>
        </is>
      </c>
      <c r="G16" s="26" t="inlineStr">
        <is>
          <t>today or last-7-days (user-selectable timeframe toggle, home-closer.tsx:37-38)</t>
        </is>
      </c>
      <c r="H16" s="27" t="inlineStr">
        <is>
          <t>LIVE</t>
        </is>
      </c>
      <c r="I16" s="28" t="inlineStr">
        <is>
          <t>ADMI-0806</t>
        </is>
      </c>
    </row>
    <row r="17" ht="30" customHeight="1">
      <c r="A17" s="29" t="inlineStr">
        <is>
          <t>no-show/awaiting-payment alerts</t>
        </is>
      </c>
      <c r="B17" s="30" t="inlineStr">
        <is>
          <t>n/a</t>
        </is>
      </c>
      <c r="C17" s="31" t="inlineStr">
        <is>
          <t>count</t>
        </is>
      </c>
      <c r="D17" s="31" t="inlineStr">
        <is>
          <t>ALERT</t>
        </is>
      </c>
      <c r="E17" s="32" t="inlineStr">
        <is>
          <t>two combined signals: noShows = calls where status='no_show' &amp;&amp; !no_show_recovered &amp;&amp; !recovered_from_call_id; awaitingPayment = calls where payment_plan=true &amp;&amp; contract_value_cents&gt;cash_collected_cents &amp;&amp; !deposit_cents</t>
        </is>
      </c>
      <c r="F17" s="32" t="inlineStr">
        <is>
          <t>home-closer.tsx lines 109-117</t>
        </is>
      </c>
      <c r="G17" s="32" t="inlineStr">
        <is>
          <t>same rangeFrom as ADMI-0806 (today or last 7 days)</t>
        </is>
      </c>
      <c r="H17" s="27" t="inlineStr">
        <is>
          <t>LIVE</t>
        </is>
      </c>
      <c r="I17" s="33" t="inlineStr">
        <is>
          <t>ADMI-0807</t>
        </is>
      </c>
    </row>
    <row r="18" ht="30" customHeight="1">
      <c r="A18" s="23" t="inlineStr">
        <is>
          <t>Booked</t>
        </is>
      </c>
      <c r="B18" s="37" t="n"/>
      <c r="C18" s="25" t="inlineStr">
        <is>
          <t>count</t>
        </is>
      </c>
      <c r="D18" s="25" t="inlineStr">
        <is>
          <t>RAW</t>
        </is>
      </c>
      <c r="E18" s="26" t="inlineStr">
        <is>
          <t>count of calls attributed to repName in the selected timeframe</t>
        </is>
      </c>
      <c r="F18" s="26" t="inlineStr">
        <is>
          <t>home-closer.tsx line 119: booked = calls.length</t>
        </is>
      </c>
      <c r="G18" s="26" t="inlineStr">
        <is>
          <t>today or last-7-days (user toggle)</t>
        </is>
      </c>
      <c r="H18" s="27" t="inlineStr">
        <is>
          <t>LIVE</t>
        </is>
      </c>
      <c r="I18" s="28" t="inlineStr">
        <is>
          <t>ADMI-0808</t>
        </is>
      </c>
    </row>
    <row r="19" ht="30" customHeight="1">
      <c r="A19" s="29" t="inlineStr">
        <is>
          <t>Showed</t>
        </is>
      </c>
      <c r="B19" s="37" t="n"/>
      <c r="C19" s="31" t="inlineStr">
        <is>
          <t>count</t>
        </is>
      </c>
      <c r="D19" s="31" t="inlineStr">
        <is>
          <t>RAW</t>
        </is>
      </c>
      <c r="E19" s="32" t="inlineStr">
        <is>
          <t>count of calls.showed=true for repName in timeframe</t>
        </is>
      </c>
      <c r="F19" s="32" t="inlineStr">
        <is>
          <t>home-closer.tsx line 120: showed = calls.filter(c=&gt;c.showed).length</t>
        </is>
      </c>
      <c r="G19" s="32" t="inlineStr">
        <is>
          <t>today or last-7-days</t>
        </is>
      </c>
      <c r="H19" s="27" t="inlineStr">
        <is>
          <t>LIVE</t>
        </is>
      </c>
      <c r="I19" s="33" t="inlineStr">
        <is>
          <t>ADMI-0809</t>
        </is>
      </c>
    </row>
    <row r="20" ht="30" customHeight="1">
      <c r="A20" s="23" t="inlineStr">
        <is>
          <t>Offers</t>
        </is>
      </c>
      <c r="B20" s="37" t="n"/>
      <c r="C20" s="25" t="inlineStr">
        <is>
          <t>count</t>
        </is>
      </c>
      <c r="D20" s="25" t="inlineStr">
        <is>
          <t>RAW</t>
        </is>
      </c>
      <c r="E20" s="26" t="inlineStr">
        <is>
          <t>count of calls.offer_made=true for repName in timeframe</t>
        </is>
      </c>
      <c r="F20" s="26" t="inlineStr">
        <is>
          <t>home-closer.tsx line 121: offers = calls.filter(c=&gt;c.offer_made).length</t>
        </is>
      </c>
      <c r="G20" s="26" t="inlineStr">
        <is>
          <t>today or last-7-days</t>
        </is>
      </c>
      <c r="H20" s="27" t="inlineStr">
        <is>
          <t>LIVE</t>
        </is>
      </c>
      <c r="I20" s="28" t="inlineStr">
        <is>
          <t>ADMI-0810</t>
        </is>
      </c>
    </row>
    <row r="21" ht="30" customHeight="1">
      <c r="A21" s="29" t="inlineStr">
        <is>
          <t>Closes</t>
        </is>
      </c>
      <c r="B21" s="37" t="n"/>
      <c r="C21" s="31" t="inlineStr">
        <is>
          <t>count</t>
        </is>
      </c>
      <c r="D21" s="31" t="inlineStr">
        <is>
          <t>RAW</t>
        </is>
      </c>
      <c r="E21" s="32" t="inlineStr">
        <is>
          <t>count of closed calls for repName in timeframe</t>
        </is>
      </c>
      <c r="F21" s="32" t="inlineStr">
        <is>
          <t>home-closer.tsx line 122: closes = calls.filter(c=&gt;c.closed||c.status==='closed').length</t>
        </is>
      </c>
      <c r="G21" s="32" t="inlineStr">
        <is>
          <t>today or last-7-days</t>
        </is>
      </c>
      <c r="H21" s="27" t="inlineStr">
        <is>
          <t>LIVE</t>
        </is>
      </c>
      <c r="I21" s="33" t="inlineStr">
        <is>
          <t>ADMI-0811</t>
        </is>
      </c>
    </row>
    <row r="22" ht="30" customHeight="1">
      <c r="A22" s="23" t="inlineStr">
        <is>
          <t>Cash</t>
        </is>
      </c>
      <c r="B22" s="34" t="n"/>
      <c r="C22" s="25" t="inlineStr">
        <is>
          <t>$</t>
        </is>
      </c>
      <c r="D22" s="25" t="inlineStr">
        <is>
          <t>RAW</t>
        </is>
      </c>
      <c r="E22" s="26" t="inlineStr">
        <is>
          <t>sum of calls.cash_collected_cents for repName in timeframe</t>
        </is>
      </c>
      <c r="F22" s="26" t="inlineStr">
        <is>
          <t>home-closer.tsx line 123: cashCents = calls.reduce(...cash_collected_cents)</t>
        </is>
      </c>
      <c r="G22" s="26" t="inlineStr">
        <is>
          <t>today or last-7-days</t>
        </is>
      </c>
      <c r="H22" s="27" t="inlineStr">
        <is>
          <t>LIVE</t>
        </is>
      </c>
      <c r="I22" s="28" t="inlineStr">
        <is>
          <t>ADMI-0812</t>
        </is>
      </c>
    </row>
    <row r="23" ht="6" customHeight="1"/>
    <row r="24" ht="20" customHeight="1">
      <c r="A24" s="22" t="inlineStr">
        <is>
          <t>MANAGER</t>
        </is>
      </c>
    </row>
    <row r="25" ht="30" customHeight="1">
      <c r="A25" s="29" t="inlineStr">
        <is>
          <t>Calls Booked</t>
        </is>
      </c>
      <c r="B25" s="37" t="n"/>
      <c r="C25" s="31" t="inlineStr">
        <is>
          <t>count</t>
        </is>
      </c>
      <c r="D25" s="31" t="inlineStr">
        <is>
          <t>RAW</t>
        </is>
      </c>
      <c r="E25" s="32" t="inlineStr">
        <is>
          <t>count of all calls scheduled today (team-wide, not per-rep)</t>
        </is>
      </c>
      <c r="F25" s="32" t="inlineStr">
        <is>
          <t>src/components/home/home-manager.tsx calls query (lines 27-44): .eq('org_id', orgId).gte/lte(scheduled_for, today)</t>
        </is>
      </c>
      <c r="G25" s="32" t="inlineStr">
        <is>
          <t>today only</t>
        </is>
      </c>
      <c r="H25" s="27" t="inlineStr">
        <is>
          <t>LIVE</t>
        </is>
      </c>
      <c r="I25" s="33" t="inlineStr">
        <is>
          <t>ADMI-0813</t>
        </is>
      </c>
    </row>
    <row r="26" ht="30" customHeight="1">
      <c r="A26" s="23" t="inlineStr">
        <is>
          <t>Showed</t>
        </is>
      </c>
      <c r="B26" s="37" t="n"/>
      <c r="C26" s="25" t="inlineStr">
        <is>
          <t>count</t>
        </is>
      </c>
      <c r="D26" s="25" t="inlineStr">
        <is>
          <t>RAW</t>
        </is>
      </c>
      <c r="E26" s="26" t="inlineStr">
        <is>
          <t>count of today's calls with showed=true (team-wide)</t>
        </is>
      </c>
      <c r="F26" s="26" t="inlineStr">
        <is>
          <t>home-manager.tsx line 87: showed = calls.filter(c=&gt;c.showed).length</t>
        </is>
      </c>
      <c r="G26" s="26" t="inlineStr">
        <is>
          <t>today only</t>
        </is>
      </c>
      <c r="H26" s="27" t="inlineStr">
        <is>
          <t>LIVE</t>
        </is>
      </c>
      <c r="I26" s="28" t="inlineStr">
        <is>
          <t>ADMI-0814</t>
        </is>
      </c>
    </row>
    <row r="27" ht="30" customHeight="1">
      <c r="A27" s="29" t="inlineStr">
        <is>
          <t>Offers</t>
        </is>
      </c>
      <c r="B27" s="37" t="n"/>
      <c r="C27" s="31" t="inlineStr">
        <is>
          <t>count</t>
        </is>
      </c>
      <c r="D27" s="31" t="inlineStr">
        <is>
          <t>RAW</t>
        </is>
      </c>
      <c r="E27" s="32" t="inlineStr">
        <is>
          <t>count of today's calls with offer_made=true (team-wide)</t>
        </is>
      </c>
      <c r="F27" s="32" t="inlineStr">
        <is>
          <t>home-manager.tsx line 88: offers = calls.filter(c=&gt;c.offer_made).length</t>
        </is>
      </c>
      <c r="G27" s="32" t="inlineStr">
        <is>
          <t>today only</t>
        </is>
      </c>
      <c r="H27" s="27" t="inlineStr">
        <is>
          <t>LIVE</t>
        </is>
      </c>
      <c r="I27" s="33" t="inlineStr">
        <is>
          <t>ADMI-0815</t>
        </is>
      </c>
    </row>
    <row r="28" ht="30" customHeight="1">
      <c r="A28" s="23" t="inlineStr">
        <is>
          <t>Closes</t>
        </is>
      </c>
      <c r="B28" s="37" t="n"/>
      <c r="C28" s="25" t="inlineStr">
        <is>
          <t>count</t>
        </is>
      </c>
      <c r="D28" s="25" t="inlineStr">
        <is>
          <t>RAW</t>
        </is>
      </c>
      <c r="E28" s="26" t="inlineStr">
        <is>
          <t>count of today's closed calls (team-wide)</t>
        </is>
      </c>
      <c r="F28" s="26" t="inlineStr">
        <is>
          <t>home-manager.tsx line 89: closes = calls.filter(c=&gt;c.closed||c.status==='closed').length</t>
        </is>
      </c>
      <c r="G28" s="26" t="inlineStr">
        <is>
          <t>today only</t>
        </is>
      </c>
      <c r="H28" s="27" t="inlineStr">
        <is>
          <t>LIVE</t>
        </is>
      </c>
      <c r="I28" s="28" t="inlineStr">
        <is>
          <t>ADMI-0816</t>
        </is>
      </c>
    </row>
    <row r="29" ht="30" customHeight="1">
      <c r="A29" s="29" t="inlineStr">
        <is>
          <t>Cash Collected</t>
        </is>
      </c>
      <c r="B29" s="34" t="n"/>
      <c r="C29" s="31" t="inlineStr">
        <is>
          <t>$</t>
        </is>
      </c>
      <c r="D29" s="31" t="inlineStr">
        <is>
          <t>RAW</t>
        </is>
      </c>
      <c r="E29" s="32" t="inlineStr">
        <is>
          <t>sum of today's calls.cash_collected_cents (team-wide); a secondary 'last 7 days' total also computed and shown as supporting text</t>
        </is>
      </c>
      <c r="F29" s="32" t="inlineStr">
        <is>
          <t>home-manager.tsx line 90: cashToday = calls.reduce(...cash_collected_cents); cashWeek also shown as supporting text (line 91-92, query lines 46-62)</t>
        </is>
      </c>
      <c r="G29" s="32" t="inlineStr">
        <is>
          <t>today (primary tile) + last 7 days (supporting text line)</t>
        </is>
      </c>
      <c r="H29" s="27" t="inlineStr">
        <is>
          <t>LIVE</t>
        </is>
      </c>
      <c r="I29" s="33" t="inlineStr">
        <is>
          <t>ADMI-0817</t>
        </is>
      </c>
    </row>
    <row r="30" ht="30" customHeight="1">
      <c r="A30" s="23" t="inlineStr">
        <is>
          <t>Closer Performance table</t>
        </is>
      </c>
      <c r="B30" s="37" t="n"/>
      <c r="C30" s="25" t="inlineStr">
        <is>
          <t>table (count/count/count/$ columns)</t>
        </is>
      </c>
      <c r="D30" s="25" t="inlineStr">
        <is>
          <t>AGGREGATED</t>
        </is>
      </c>
      <c r="E30" s="26" t="inlineStr">
        <is>
          <t>groups last-7-days calls by closer_name; columns Booked/Showed/Closes/Cash are per-closer counts/sums of the same fields as ADMI-0813-0817 but scoped per rep over 7 days instead of team-wide today</t>
        </is>
      </c>
      <c r="F30" s="26" t="inlineStr">
        <is>
          <t>home-manager.tsx byCloser map (lines 93-106), built from weekCalls query (lines 46-62)</t>
        </is>
      </c>
      <c r="G30" s="26" t="inlineStr">
        <is>
          <t>last 7 days (hardcoded from .setDate(-6) to today)</t>
        </is>
      </c>
      <c r="H30" s="27" t="inlineStr">
        <is>
          <t>LIVE</t>
        </is>
      </c>
      <c r="I30" s="28" t="inlineStr">
        <is>
          <t>ADMI-0818</t>
        </is>
      </c>
    </row>
    <row r="31" ht="6" customHeight="1"/>
    <row r="32" ht="20" customHeight="1">
      <c r="A32" s="22" t="inlineStr">
        <is>
          <t>DM SETTER</t>
        </is>
      </c>
    </row>
    <row r="33" ht="30" customHeight="1">
      <c r="A33" s="29" t="inlineStr">
        <is>
          <t>DMs Sent</t>
        </is>
      </c>
      <c r="B33" s="37" t="n"/>
      <c r="C33" s="31" t="inlineStr">
        <is>
          <t>count</t>
        </is>
      </c>
      <c r="D33" s="31" t="inlineStr">
        <is>
          <t>RAW</t>
        </is>
      </c>
      <c r="E33" s="32" t="inlineStr">
        <is>
          <t>sum(setter_activity.inbound_dms_sent) + sum(setter_activity.outbound_dms_sent) for repName</t>
        </is>
      </c>
      <c r="F33" s="32" t="inlineStr">
        <is>
          <t>src/components/home/home-rep-dashboard.tsx activityRows query (lines 144-161): .eq('org_id', orgId).eq('team_member_name', repName).gte/lte(activity_date, rangeFrom, TODAY)</t>
        </is>
      </c>
      <c r="G33" s="32" t="inlineStr">
        <is>
          <t>today or last-7-days (user toggle)</t>
        </is>
      </c>
      <c r="H33" s="27" t="inlineStr">
        <is>
          <t>LIVE</t>
        </is>
      </c>
      <c r="I33" s="33" t="inlineStr">
        <is>
          <t>ADMI-0819</t>
        </is>
      </c>
    </row>
    <row r="34" ht="30" customHeight="1">
      <c r="A34" s="23" t="inlineStr">
        <is>
          <t>Replies</t>
        </is>
      </c>
      <c r="B34" s="37" t="n"/>
      <c r="C34" s="25" t="inlineStr">
        <is>
          <t>count</t>
        </is>
      </c>
      <c r="D34" s="25" t="inlineStr">
        <is>
          <t>RAW</t>
        </is>
      </c>
      <c r="E34" s="26" t="inlineStr">
        <is>
          <t>sum of setter_activity.replies for repName</t>
        </is>
      </c>
      <c r="F34" s="26" t="inlineStr">
        <is>
          <t>home-rep-dashboard.tsx sum('replies') (line 320)</t>
        </is>
      </c>
      <c r="G34" s="26" t="inlineStr">
        <is>
          <t>today or last-7-days</t>
        </is>
      </c>
      <c r="H34" s="27" t="inlineStr">
        <is>
          <t>LIVE</t>
        </is>
      </c>
      <c r="I34" s="28" t="inlineStr">
        <is>
          <t>ADMI-0820</t>
        </is>
      </c>
    </row>
    <row r="35" ht="30" customHeight="1">
      <c r="A35" s="29" t="inlineStr">
        <is>
          <t>Qualified</t>
        </is>
      </c>
      <c r="B35" s="37" t="n"/>
      <c r="C35" s="31" t="inlineStr">
        <is>
          <t>count</t>
        </is>
      </c>
      <c r="D35" s="31" t="inlineStr">
        <is>
          <t>RAW</t>
        </is>
      </c>
      <c r="E35" s="32" t="inlineStr">
        <is>
          <t>sum of setter_activity.qualified_convos for repName</t>
        </is>
      </c>
      <c r="F35" s="32" t="inlineStr">
        <is>
          <t>home-rep-dashboard.tsx sum('qualified_convos') (line 326)</t>
        </is>
      </c>
      <c r="G35" s="32" t="inlineStr">
        <is>
          <t>today or last-7-days</t>
        </is>
      </c>
      <c r="H35" s="27" t="inlineStr">
        <is>
          <t>LIVE</t>
        </is>
      </c>
      <c r="I35" s="33" t="inlineStr">
        <is>
          <t>ADMI-0821</t>
        </is>
      </c>
    </row>
    <row r="36" ht="30" customHeight="1">
      <c r="A36" s="23" t="inlineStr">
        <is>
          <t>Sets</t>
        </is>
      </c>
      <c r="B36" s="37" t="n"/>
      <c r="C36" s="25" t="inlineStr">
        <is>
          <t>count</t>
        </is>
      </c>
      <c r="D36" s="25" t="inlineStr">
        <is>
          <t>RAW</t>
        </is>
      </c>
      <c r="E36" s="26" t="inlineStr">
        <is>
          <t>sum of setter_activity.sets for repName</t>
        </is>
      </c>
      <c r="F36" s="26" t="inlineStr">
        <is>
          <t>home-rep-dashboard.tsx sum('sets') (line 332)</t>
        </is>
      </c>
      <c r="G36" s="26" t="inlineStr">
        <is>
          <t>today or last-7-days</t>
        </is>
      </c>
      <c r="H36" s="27" t="inlineStr">
        <is>
          <t>LIVE</t>
        </is>
      </c>
      <c r="I36" s="28" t="inlineStr">
        <is>
          <t>ADMI-0822</t>
        </is>
      </c>
    </row>
    <row r="37" ht="30" customHeight="1">
      <c r="A37" s="29" t="inlineStr">
        <is>
          <t>Booked</t>
        </is>
      </c>
      <c r="B37" s="37" t="n"/>
      <c r="C37" s="31" t="inlineStr">
        <is>
          <t>count</t>
        </is>
      </c>
      <c r="D37" s="31" t="inlineStr">
        <is>
          <t>RAW</t>
        </is>
      </c>
      <c r="E37" s="32" t="inlineStr">
        <is>
          <t>sum of setter_activity.calls_on_calendar for repName</t>
        </is>
      </c>
      <c r="F37" s="32" t="inlineStr">
        <is>
          <t>home-rep-dashboard.tsx sum('calls_on_calendar') (line 338)</t>
        </is>
      </c>
      <c r="G37" s="32" t="inlineStr">
        <is>
          <t>today or last-7-days</t>
        </is>
      </c>
      <c r="H37" s="27" t="inlineStr">
        <is>
          <t>LIVE</t>
        </is>
      </c>
      <c r="I37" s="33" t="inlineStr">
        <is>
          <t>ADMI-0823</t>
        </is>
      </c>
    </row>
    <row r="38" ht="6" customHeight="1"/>
    <row r="39" ht="20" customHeight="1">
      <c r="A39" s="22" t="inlineStr">
        <is>
          <t>INBOUND DIALER</t>
        </is>
      </c>
    </row>
    <row r="40" ht="30" customHeight="1">
      <c r="A40" s="23" t="inlineStr">
        <is>
          <t>Dials</t>
        </is>
      </c>
      <c r="B40" s="37" t="n"/>
      <c r="C40" s="25" t="inlineStr">
        <is>
          <t>count</t>
        </is>
      </c>
      <c r="D40" s="25" t="inlineStr">
        <is>
          <t>RAW</t>
        </is>
      </c>
      <c r="E40" s="26" t="inlineStr">
        <is>
          <t>sum of setter_activity.dials for repName</t>
        </is>
      </c>
      <c r="F40" s="26" t="inlineStr">
        <is>
          <t>home-rep-dashboard.tsx sum('dials') (line 347); same activityRows query as ADMI-0819 but flavor='inbound_dialer'</t>
        </is>
      </c>
      <c r="G40" s="26" t="inlineStr">
        <is>
          <t>today or last-7-days</t>
        </is>
      </c>
      <c r="H40" s="27" t="inlineStr">
        <is>
          <t>LIVE</t>
        </is>
      </c>
      <c r="I40" s="28" t="inlineStr">
        <is>
          <t>ADMI-0824</t>
        </is>
      </c>
    </row>
    <row r="41" ht="30" customHeight="1">
      <c r="A41" s="29" t="inlineStr">
        <is>
          <t>Connections</t>
        </is>
      </c>
      <c r="B41" s="37" t="n"/>
      <c r="C41" s="31" t="inlineStr">
        <is>
          <t>count</t>
        </is>
      </c>
      <c r="D41" s="31" t="inlineStr">
        <is>
          <t>RAW</t>
        </is>
      </c>
      <c r="E41" s="32" t="inlineStr">
        <is>
          <t>sum of setter_activity.connections for repName</t>
        </is>
      </c>
      <c r="F41" s="32" t="inlineStr">
        <is>
          <t>home-rep-dashboard.tsx sum('connections') (line 353)</t>
        </is>
      </c>
      <c r="G41" s="32" t="inlineStr">
        <is>
          <t>today or last-7-days</t>
        </is>
      </c>
      <c r="H41" s="27" t="inlineStr">
        <is>
          <t>LIVE</t>
        </is>
      </c>
      <c r="I41" s="33" t="inlineStr">
        <is>
          <t>ADMI-0825</t>
        </is>
      </c>
    </row>
    <row r="42" ht="30" customHeight="1">
      <c r="A42" s="23" t="inlineStr">
        <is>
          <t>Qualified</t>
        </is>
      </c>
      <c r="B42" s="37" t="n"/>
      <c r="C42" s="25" t="inlineStr">
        <is>
          <t>count</t>
        </is>
      </c>
      <c r="D42" s="25" t="inlineStr">
        <is>
          <t>RAW</t>
        </is>
      </c>
      <c r="E42" s="26" t="inlineStr">
        <is>
          <t>sum of setter_activity.qualified_convos for repName</t>
        </is>
      </c>
      <c r="F42" s="26" t="inlineStr">
        <is>
          <t>home-rep-dashboard.tsx sum('qualified_convos') (line 359)</t>
        </is>
      </c>
      <c r="G42" s="26" t="inlineStr">
        <is>
          <t>today or last-7-days</t>
        </is>
      </c>
      <c r="H42" s="27" t="inlineStr">
        <is>
          <t>LIVE</t>
        </is>
      </c>
      <c r="I42" s="28" t="inlineStr">
        <is>
          <t>ADMI-0826</t>
        </is>
      </c>
    </row>
    <row r="43" ht="30" customHeight="1">
      <c r="A43" s="29" t="inlineStr">
        <is>
          <t>Booked</t>
        </is>
      </c>
      <c r="B43" s="37" t="n"/>
      <c r="C43" s="31" t="inlineStr">
        <is>
          <t>count</t>
        </is>
      </c>
      <c r="D43" s="31" t="inlineStr">
        <is>
          <t>RAW</t>
        </is>
      </c>
      <c r="E43" s="32" t="inlineStr">
        <is>
          <t>sum of setter_activity.calls_on_calendar for repName</t>
        </is>
      </c>
      <c r="F43" s="32" t="inlineStr">
        <is>
          <t>home-rep-dashboard.tsx sum('calls_on_calendar') (line 365)</t>
        </is>
      </c>
      <c r="G43" s="32" t="inlineStr">
        <is>
          <t>today or last-7-days</t>
        </is>
      </c>
      <c r="H43" s="27" t="inlineStr">
        <is>
          <t>LIVE</t>
        </is>
      </c>
      <c r="I43" s="33" t="inlineStr">
        <is>
          <t>ADMI-0827</t>
        </is>
      </c>
    </row>
    <row r="44" ht="30" customHeight="1">
      <c r="A44" s="23" t="inlineStr">
        <is>
          <t>SLA breaches</t>
        </is>
      </c>
      <c r="B44" s="24" t="inlineStr">
        <is>
          <t>n/a</t>
        </is>
      </c>
      <c r="C44" s="25" t="inlineStr">
        <is>
          <t>count</t>
        </is>
      </c>
      <c r="D44" s="25" t="inlineStr">
        <is>
          <t>ALERT</t>
        </is>
      </c>
      <c r="E44" s="26" t="inlineStr">
        <is>
          <t>count of sla_breach_records rows with status='open' (team-wide, not per-rep; subtitle explicitly says so)</t>
        </is>
      </c>
      <c r="F44" s="26" t="inlineStr">
        <is>
          <t>home-rep-dashboard.tsx DialerAttentionRow() (lines 439-452): untypedDb.from('sla_breach_records').select('id',{count:'exact',head:true}).eq('org_id', orgId).eq('status','open')</t>
        </is>
      </c>
      <c r="G44" s="26" t="inlineStr">
        <is>
          <t>none/point-in-time (all currently-open breaches, no date filter)</t>
        </is>
      </c>
      <c r="H44" s="27" t="inlineStr">
        <is>
          <t>LIVE</t>
        </is>
      </c>
      <c r="I44" s="28" t="inlineStr">
        <is>
          <t>ADMI-0828</t>
        </is>
      </c>
    </row>
    <row r="45" ht="30" customHeight="1">
      <c r="A45" s="29" t="inlineStr">
        <is>
          <t>callbacks</t>
        </is>
      </c>
      <c r="B45" s="37" t="n"/>
      <c r="C45" s="31" t="inlineStr">
        <is>
          <t>count (two buckets: due today / overdue)</t>
        </is>
      </c>
      <c r="D45" s="31" t="inlineStr">
        <is>
          <t>RAW</t>
        </is>
      </c>
      <c r="E45" s="32" t="inlineStr">
        <is>
          <t>two sub-counts: dueToday = rows where due_at is today; overdue = rows where due_at &lt; today</t>
        </is>
      </c>
      <c r="F45" s="32" t="inlineStr">
        <is>
          <t>home-rep-dashboard.tsx DialerAttentionRow() (lines 453-471): untypedDb.from('operational_work_items').select(...).eq('org_id', orgId).eq('entity_type','dialer_callback').neq('state','completed')</t>
        </is>
      </c>
      <c r="G45" s="32" t="inlineStr">
        <is>
          <t>none/point-in-time (all open callback work items, no date-range filter beyond due_at comparison)</t>
        </is>
      </c>
      <c r="H45" s="27" t="inlineStr">
        <is>
          <t>LIVE</t>
        </is>
      </c>
      <c r="I45" s="33" t="inlineStr">
        <is>
          <t>ADMI-0829</t>
        </is>
      </c>
    </row>
    <row r="46" ht="6" customHeight="1"/>
    <row r="47" ht="20" customHeight="1">
      <c r="A47" s="22" t="inlineStr">
        <is>
          <t>GROWTH</t>
        </is>
      </c>
    </row>
    <row r="48" ht="30" customHeight="1">
      <c r="A48" s="23" t="inlineStr">
        <is>
          <t>Leads Generated</t>
        </is>
      </c>
      <c r="B48" s="37" t="n"/>
      <c r="C48" s="25" t="inlineStr">
        <is>
          <t>count (given type=DERIVED and unit=% are both wrong)</t>
        </is>
      </c>
      <c r="D48" s="25" t="inlineStr">
        <is>
          <t>RAW</t>
        </is>
      </c>
      <c r="E48" s="26" t="inlineStr">
        <is>
          <t>count of leads created today (org-wide)</t>
        </is>
      </c>
      <c r="F48" s="26" t="inlineStr">
        <is>
          <t>src/components/home/home-growth.tsx leadsToday query (lines 16-30): .eq('org_id', orgId).gte/lte(created_at, today)</t>
        </is>
      </c>
      <c r="G48" s="26" t="inlineStr">
        <is>
          <t>today only</t>
        </is>
      </c>
      <c r="H48" s="27" t="inlineStr">
        <is>
          <t>LIVE</t>
        </is>
      </c>
      <c r="I48" s="28" t="inlineStr">
        <is>
          <t>ADMI-0830</t>
        </is>
      </c>
    </row>
    <row r="49" ht="30" customHeight="1">
      <c r="A49" s="29" t="inlineStr">
        <is>
          <t>Paid Leads</t>
        </is>
      </c>
      <c r="B49" s="37" t="n"/>
      <c r="C49" s="31" t="inlineStr">
        <is>
          <t>count</t>
        </is>
      </c>
      <c r="D49" s="31" t="inlineStr">
        <is>
          <t>DERIVED</t>
        </is>
      </c>
      <c r="E49" s="32" t="inlineStr">
        <is>
          <t>Leads Generated minus Organic Leads (i.e. every lead NOT classified Direct/Organic by normalizeAcquisitionSource)</t>
        </is>
      </c>
      <c r="F49" s="32" t="inlineStr">
        <is>
          <t>home-growth.tsx line 51: paid = leadsToday.length - organic</t>
        </is>
      </c>
      <c r="G49" s="32" t="inlineStr">
        <is>
          <t>today only</t>
        </is>
      </c>
      <c r="H49" s="27" t="inlineStr">
        <is>
          <t>LIVE</t>
        </is>
      </c>
      <c r="I49" s="33" t="inlineStr">
        <is>
          <t>ADMI-0831</t>
        </is>
      </c>
    </row>
    <row r="50" ht="30" customHeight="1">
      <c r="A50" s="23" t="inlineStr">
        <is>
          <t>Organic Leads</t>
        </is>
      </c>
      <c r="B50" s="37" t="n"/>
      <c r="C50" s="25" t="inlineStr">
        <is>
          <t>count</t>
        </is>
      </c>
      <c r="D50" s="25" t="inlineStr">
        <is>
          <t>DERIVED</t>
        </is>
      </c>
      <c r="E50" s="26" t="inlineStr">
        <is>
          <t>count of today's leads whose source_platform normalizes to the 'Direct / Organic' acquisition-source category</t>
        </is>
      </c>
      <c r="F50" s="26" t="inlineStr">
        <is>
          <t>home-growth.tsx lines 48-50: leadsToday.filter(l=&gt;normalizeAcquisitionSource(null,l.source_platform)==='Direct / Organic').length</t>
        </is>
      </c>
      <c r="G50" s="26" t="inlineStr">
        <is>
          <t>today only</t>
        </is>
      </c>
      <c r="H50" s="27" t="inlineStr">
        <is>
          <t>LIVE</t>
        </is>
      </c>
      <c r="I50" s="28" t="inlineStr">
        <is>
          <t>ADMI-0832</t>
        </is>
      </c>
    </row>
    <row r="51" ht="30" customHeight="1">
      <c r="A51" s="29" t="inlineStr">
        <is>
          <t>high-reach/no-lead content flags</t>
        </is>
      </c>
      <c r="B51" s="30" t="inlineStr">
        <is>
          <t>n/a</t>
        </is>
      </c>
      <c r="C51" s="31" t="inlineStr">
        <is>
          <t>count</t>
        </is>
      </c>
      <c r="D51" s="31" t="inlineStr">
        <is>
          <t>ALERT</t>
        </is>
      </c>
      <c r="E51" s="32" t="inlineStr">
        <is>
          <t>count of content_metrics rows captured today with views&gt;1000 AND leads_generated is falsy (0/null)</t>
        </is>
      </c>
      <c r="F51" s="32" t="inlineStr">
        <is>
          <t>home-growth.tsx contentToday query (lines 32-46) + filter at line 55: contentToday.filter(c=&gt;(c.views??0)&gt;1000 &amp;&amp; !c.leads_generated)</t>
        </is>
      </c>
      <c r="G51" s="32" t="inlineStr">
        <is>
          <t>today only</t>
        </is>
      </c>
      <c r="H51" s="27" t="inlineStr">
        <is>
          <t>LIVE</t>
        </is>
      </c>
      <c r="I51" s="33" t="inlineStr">
        <is>
          <t>ADMI-0833</t>
        </is>
      </c>
    </row>
    <row r="52" ht="30" customHeight="1">
      <c r="A52" s="23" t="inlineStr">
        <is>
          <t>tracked webinars</t>
        </is>
      </c>
      <c r="B52" s="37" t="n"/>
      <c r="C52" s="25" t="inlineStr">
        <is>
          <t>count</t>
        </is>
      </c>
      <c r="D52" s="25" t="inlineStr">
        <is>
          <t>RAW</t>
        </is>
      </c>
      <c r="E52" s="26" t="inlineStr">
        <is>
          <t>count of all webinars rows for the org (paid + organic + unclassified breakdown shown in the label text)</t>
        </is>
      </c>
      <c r="F52" s="26" t="inlineStr">
        <is>
          <t>home-growth.tsx useWebinars() hook (= MAIN-0003's source, src/hooks/use-webinars.ts), webinars.length rendered at line 100</t>
        </is>
      </c>
      <c r="G52" s="26" t="inlineStr">
        <is>
          <t>none/point-in-time (all webinars regardless of date)</t>
        </is>
      </c>
      <c r="H52" s="27" t="inlineStr">
        <is>
          <t>LIVE</t>
        </is>
      </c>
      <c r="I52" s="28" t="inlineStr">
        <is>
          <t>ADMI-0834</t>
        </is>
      </c>
    </row>
    <row r="53" ht="6" customHeight="1"/>
  </sheetData>
  <autoFilter ref="A4:I52"/>
  <mergeCells count="6">
    <mergeCell ref="A15:I15"/>
    <mergeCell ref="A47:I47"/>
    <mergeCell ref="A5:I5"/>
    <mergeCell ref="A32:I32"/>
    <mergeCell ref="A39:I39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Leads</t>
        </is>
      </c>
    </row>
    <row r="2">
      <c r="A2" s="21" t="inlineStr">
        <is>
          <t>46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HERO PILLS</t>
        </is>
      </c>
    </row>
    <row r="6" ht="30" customHeight="1">
      <c r="A6" s="23" t="inlineStr">
        <is>
          <t>Total leads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stats.total = view.length (src/routes/_authenticated.leads.tsx:785)</t>
        </is>
      </c>
      <c r="F6" s="26" t="inlineStr">
        <is>
          <t>leads.* rows via src/routes/_authenticated.leads.tsx:538-546 (supabase.from('leads').select(...).eq('org_id', orgId!).order('created_at',{ascending:false}).limit(500)); count of client-filtered `view` array</t>
        </is>
      </c>
      <c r="G6" s="26" t="inlineStr">
        <is>
          <t>entryRange filter (default 'All time', a local date-range control distinct from the global DateRangeProvider) + all active table filters</t>
        </is>
      </c>
      <c r="H6" s="27" t="inlineStr">
        <is>
          <t>LIVE</t>
        </is>
      </c>
      <c r="I6" s="28" t="inlineStr">
        <is>
          <t>SALE-0079</t>
        </is>
      </c>
    </row>
    <row r="7" ht="30" customHeight="1">
      <c r="A7" s="29" t="inlineStr">
        <is>
          <t>Diamond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stats.diamond = view.filter(l =&gt; l.priority==='diamond' || l.pipeline_stage==='diamond').length (leads.tsx:788-789)</t>
        </is>
      </c>
      <c r="F7" s="32" t="inlineStr">
        <is>
          <t>same `view` array as above</t>
        </is>
      </c>
      <c r="G7" s="32" t="inlineStr">
        <is>
          <t>same as SALE-0079</t>
        </is>
      </c>
      <c r="H7" s="27" t="inlineStr">
        <is>
          <t>LIVE</t>
        </is>
      </c>
      <c r="I7" s="33" t="inlineStr">
        <is>
          <t>SALE-0080</t>
        </is>
      </c>
    </row>
    <row r="8" ht="30" customHeight="1">
      <c r="A8" s="23" t="inlineStr">
        <is>
          <t>Awaiting show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stats.booked = view.filter(l =&gt; l.status==='call_booked').length, rendered conditionally only when &gt;0 (leads.tsx:786,915-917)</t>
        </is>
      </c>
      <c r="F8" s="26" t="inlineStr">
        <is>
          <t>same `view` array as above</t>
        </is>
      </c>
      <c r="G8" s="26" t="inlineStr">
        <is>
          <t>same as SALE-0079</t>
        </is>
      </c>
      <c r="H8" s="27" t="inlineStr">
        <is>
          <t>LIVE</t>
        </is>
      </c>
      <c r="I8" s="28" t="inlineStr">
        <is>
          <t>SALE-0081</t>
        </is>
      </c>
    </row>
    <row r="9" ht="6" customHeight="1"/>
    <row r="10" ht="20" customHeight="1">
      <c r="A10" s="22" t="inlineStr">
        <is>
          <t>PIPELINE CHART</t>
        </is>
      </c>
    </row>
    <row r="11" ht="30" customHeight="1">
      <c r="A11" s="29" t="inlineStr">
        <is>
          <t>Leads by Pipeline Stage</t>
        </is>
      </c>
      <c r="B11" s="37" t="n"/>
      <c r="C11" s="31" t="inlineStr">
        <is>
          <t>count (donut share)</t>
        </is>
      </c>
      <c r="D11" s="31" t="inlineStr">
        <is>
          <t>AGGREGATED</t>
        </is>
      </c>
      <c r="E11" s="32" t="inlineStr">
        <is>
          <t>stageComposition: Map&lt;stageLabel,count&gt; built by iterating `view` and bucketing via the real `lead_status` Postgres enum → PIPELINE_STAGE_INFO lookup (leads.tsx:799-808)</t>
        </is>
      </c>
      <c r="F11" s="32" t="inlineStr">
        <is>
          <t>same `view` array, grouped by pipelineStageInfo(l.status).label (src/lib/lead-pipeline.ts:76-85)</t>
        </is>
      </c>
      <c r="G11" s="32" t="inlineStr">
        <is>
          <t>same entryRange/filters as `view`</t>
        </is>
      </c>
      <c r="H11" s="27" t="inlineStr">
        <is>
          <t>LIVE</t>
        </is>
      </c>
      <c r="I11" s="33" t="inlineStr">
        <is>
          <t>SALE-0082</t>
        </is>
      </c>
    </row>
    <row r="12" ht="6" customHeight="1"/>
    <row r="13" ht="20" customHeight="1">
      <c r="A13" s="22" t="inlineStr">
        <is>
          <t>STAT ROW</t>
        </is>
      </c>
    </row>
    <row r="14" ht="30" customHeight="1">
      <c r="A14" s="23" t="inlineStr">
        <is>
          <t>Total leads</t>
        </is>
      </c>
      <c r="B14" s="37" t="n"/>
      <c r="C14" s="25" t="inlineStr">
        <is>
          <t>count</t>
        </is>
      </c>
      <c r="D14" s="25" t="inlineStr">
        <is>
          <t>AGGREGATED</t>
        </is>
      </c>
      <c r="E14" s="26" t="inlineStr">
        <is>
          <t>stats.total = view.length</t>
        </is>
      </c>
      <c r="F14" s="26" t="inlineStr">
        <is>
          <t>same as SALE-0079</t>
        </is>
      </c>
      <c r="G14" s="26" t="inlineStr">
        <is>
          <t>same as SALE-0079</t>
        </is>
      </c>
      <c r="H14" s="27" t="inlineStr">
        <is>
          <t>LIVE</t>
        </is>
      </c>
      <c r="I14" s="28" t="inlineStr">
        <is>
          <t>SALE-0083</t>
        </is>
      </c>
    </row>
    <row r="15" ht="30" customHeight="1">
      <c r="A15" s="29" t="inlineStr">
        <is>
          <t>Available to call</t>
        </is>
      </c>
      <c r="B15" s="37" t="n"/>
      <c r="C15" s="31" t="inlineStr">
        <is>
          <t>count</t>
        </is>
      </c>
      <c r="D15" s="31" t="inlineStr">
        <is>
          <t>AGGREGATED</t>
        </is>
      </c>
      <c r="E15" s="32" t="inlineStr">
        <is>
          <t>stats.available = view.filter(l =&gt; availabilityByLeadId.get(l.id)?.bucket !== 'unavailable').length (leads.tsx:790-791). Availability bucket derived purely from lead_status ('unavailable' if stage.availability==='unavailable', else 'followup'/'new'/'attempted' based on status + calls.count + call...</t>
        </is>
      </c>
      <c r="F15" s="32" t="inlineStr">
        <is>
          <t>view + deriveLeadAvailability (src/lib/lead-pipeline.ts:132-168) + operational_work_items (dialer_callback rows)</t>
        </is>
      </c>
      <c r="G15" s="32" t="inlineStr">
        <is>
          <t>same as SALE-0079</t>
        </is>
      </c>
      <c r="H15" s="27" t="inlineStr">
        <is>
          <t>LIVE</t>
        </is>
      </c>
      <c r="I15" s="33" t="inlineStr">
        <is>
          <t>SALE-0084</t>
        </is>
      </c>
    </row>
    <row r="16" ht="30" customHeight="1">
      <c r="A16" s="23" t="inlineStr">
        <is>
          <t>Call booked</t>
        </is>
      </c>
      <c r="B16" s="37" t="n"/>
      <c r="C16" s="25" t="inlineStr">
        <is>
          <t>count</t>
        </is>
      </c>
      <c r="D16" s="25" t="inlineStr">
        <is>
          <t>AGGREGATED</t>
        </is>
      </c>
      <c r="E16" s="26" t="inlineStr">
        <is>
          <t>stats.booked = view.filter(l=&gt;l.status==='call_booked').length</t>
        </is>
      </c>
      <c r="F16" s="26" t="inlineStr">
        <is>
          <t>same as SALE-0081</t>
        </is>
      </c>
      <c r="G16" s="26" t="inlineStr">
        <is>
          <t>same as SALE-0079</t>
        </is>
      </c>
      <c r="H16" s="27" t="inlineStr">
        <is>
          <t>LIVE</t>
        </is>
      </c>
      <c r="I16" s="28" t="inlineStr">
        <is>
          <t>SALE-0085</t>
        </is>
      </c>
    </row>
    <row r="17" ht="30" customHeight="1">
      <c r="A17" s="29" t="inlineStr">
        <is>
          <t>Closed</t>
        </is>
      </c>
      <c r="B17" s="37" t="n"/>
      <c r="C17" s="31" t="inlineStr">
        <is>
          <t>count</t>
        </is>
      </c>
      <c r="D17" s="31" t="inlineStr">
        <is>
          <t>AGGREGATED</t>
        </is>
      </c>
      <c r="E17" s="32" t="inlineStr">
        <is>
          <t>stats.closed = view.filter(l=&gt;l.status==='closed').length (leads.tsx:787)</t>
        </is>
      </c>
      <c r="F17" s="32" t="inlineStr">
        <is>
          <t>same `view`</t>
        </is>
      </c>
      <c r="G17" s="32" t="inlineStr">
        <is>
          <t>same as SALE-0079</t>
        </is>
      </c>
      <c r="H17" s="27" t="inlineStr">
        <is>
          <t>LIVE</t>
        </is>
      </c>
      <c r="I17" s="33" t="inlineStr">
        <is>
          <t>SALE-0086</t>
        </is>
      </c>
    </row>
    <row r="18" ht="30" customHeight="1">
      <c r="A18" s="23" t="inlineStr">
        <is>
          <t>Diamond leads</t>
        </is>
      </c>
      <c r="B18" s="37" t="n"/>
      <c r="C18" s="25" t="inlineStr">
        <is>
          <t>count</t>
        </is>
      </c>
      <c r="D18" s="25" t="inlineStr">
        <is>
          <t>AGGREGATED</t>
        </is>
      </c>
      <c r="E18" s="26" t="inlineStr">
        <is>
          <t>stats.diamond</t>
        </is>
      </c>
      <c r="F18" s="26" t="inlineStr">
        <is>
          <t>same as SALE-0080</t>
        </is>
      </c>
      <c r="G18" s="26" t="inlineStr">
        <is>
          <t>same as SALE-0079</t>
        </is>
      </c>
      <c r="H18" s="27" t="inlineStr">
        <is>
          <t>LIVE</t>
        </is>
      </c>
      <c r="I18" s="28" t="inlineStr">
        <is>
          <t>SALE-0087</t>
        </is>
      </c>
    </row>
    <row r="19" ht="6" customHeight="1"/>
    <row r="20" ht="20" customHeight="1">
      <c r="A20" s="22" t="inlineStr">
        <is>
          <t>LEAD AI INSIGHTS</t>
        </is>
      </c>
    </row>
    <row r="21" ht="30" customHeight="1">
      <c r="A21" s="29" t="inlineStr">
        <is>
          <t>Bottlenecks</t>
        </is>
      </c>
      <c r="B21" s="30" t="inlineStr">
        <is>
          <t>n/a</t>
        </is>
      </c>
      <c r="C21" s="31" t="inlineStr">
        <is>
          <t>count (list length, capped ~3)</t>
        </is>
      </c>
      <c r="D21" s="31" t="inlineStr">
        <is>
          <t>OTHER</t>
        </is>
      </c>
      <c r="E21" s="32" t="inlineStr">
        <is>
          <t>AI-generated list (up to 3) of friction points from a Gemini prompt over leads(full_name,status,pipeline_stage,priority,application_data,qualification_notes,intent_score,estimated_close_probability,created_at), limit 300, ordered by created_at desc; no numeric formula — free-text analysis, not a ...</t>
        </is>
      </c>
      <c r="F21" s="32" t="inlineStr">
        <is>
          <t>src/lib/lead-insights.functions.ts:46-75 (analyzeLeads createServerFn, requireSupabaseAuth-gated) — Gemini (google/gemini-2.5-flash via Lovable AI Gateway) reading real `leads` rows</t>
        </is>
      </c>
      <c r="G21" s="32" t="inlineStr">
        <is>
          <t>orgId + optional from/to passed by caller (LeadInsightsPanel) — not fully confirmed which range LeadInsightsPanel passes</t>
        </is>
      </c>
      <c r="H21" s="38" t="inlineStr">
        <is>
          <t>PARTIALLY CONNECTED</t>
        </is>
      </c>
      <c r="I21" s="33" t="inlineStr">
        <is>
          <t>SALE-0088</t>
        </is>
      </c>
    </row>
    <row r="22" ht="30" customHeight="1">
      <c r="A22" s="23" t="inlineStr">
        <is>
          <t>Double down</t>
        </is>
      </c>
      <c r="B22" s="24" t="inlineStr">
        <is>
          <t>n/a</t>
        </is>
      </c>
      <c r="C22" s="25" t="inlineStr">
        <is>
          <t>count (list length, capped ~3)</t>
        </is>
      </c>
      <c r="D22" s="25" t="inlineStr">
        <is>
          <t>OTHER</t>
        </is>
      </c>
      <c r="E22" s="26" t="inlineStr">
        <is>
          <t>Same call as SALE-0088; 'double_down' field — top winning patterns, free-text, no numeric formula</t>
        </is>
      </c>
      <c r="F22" s="26" t="inlineStr">
        <is>
          <t>src/lib/lead-insights.functions.ts:46-75 (analyzeLeads createServerFn, requireSupabaseAuth-gated)</t>
        </is>
      </c>
      <c r="G22" s="26" t="inlineStr">
        <is>
          <t>same as SALE-0088</t>
        </is>
      </c>
      <c r="H22" s="38" t="inlineStr">
        <is>
          <t>PARTIALLY CONNECTED</t>
        </is>
      </c>
      <c r="I22" s="28" t="inlineStr">
        <is>
          <t>SALE-0089</t>
        </is>
      </c>
    </row>
    <row r="23" ht="30" customHeight="1">
      <c r="A23" s="29" t="inlineStr">
        <is>
          <t>Priority leads</t>
        </is>
      </c>
      <c r="B23" s="30" t="inlineStr">
        <is>
          <t>n/a</t>
        </is>
      </c>
      <c r="C23" s="31" t="inlineStr">
        <is>
          <t>count (list length, capped 5)</t>
        </is>
      </c>
      <c r="D23" s="31" t="inlineStr">
        <is>
          <t>OTHER</t>
        </is>
      </c>
      <c r="E23" s="32" t="inlineStr">
        <is>
          <t>Same call; 'priority_leads' field — up to 5 {{name,reason}} objects, free-text reason, no score threshold formula</t>
        </is>
      </c>
      <c r="F23" s="32" t="inlineStr">
        <is>
          <t>src/lib/lead-insights.functions.ts:46-75 (analyzeLeads createServerFn, requireSupabaseAuth-gated)</t>
        </is>
      </c>
      <c r="G23" s="32" t="inlineStr">
        <is>
          <t>same as SALE-0088</t>
        </is>
      </c>
      <c r="H23" s="38" t="inlineStr">
        <is>
          <t>PARTIALLY CONNECTED</t>
        </is>
      </c>
      <c r="I23" s="33" t="inlineStr">
        <is>
          <t>SALE-0090</t>
        </is>
      </c>
    </row>
    <row r="24" ht="6" customHeight="1"/>
    <row r="25" ht="20" customHeight="1">
      <c r="A25" s="22" t="inlineStr">
        <is>
          <t>TABLE COLUMNS</t>
        </is>
      </c>
    </row>
    <row r="26" ht="30" customHeight="1">
      <c r="A26" s="23" t="inlineStr">
        <is>
          <t>Date/Time</t>
        </is>
      </c>
      <c r="B26" s="37" t="n"/>
      <c r="C26" s="25" t="inlineStr">
        <is>
          <t>date/timestamp</t>
        </is>
      </c>
      <c r="D26" s="25" t="inlineStr">
        <is>
          <t>RAW</t>
        </is>
      </c>
      <c r="E26" s="26" t="inlineStr"/>
      <c r="F26" s="26" t="inlineStr">
        <is>
          <t>leads.first_touch_at ?? leads.created_at</t>
        </is>
      </c>
      <c r="G26" s="26" t="inlineStr">
        <is>
          <t>none/point-in-time (per row)</t>
        </is>
      </c>
      <c r="H26" s="27" t="inlineStr">
        <is>
          <t>LIVE</t>
        </is>
      </c>
      <c r="I26" s="28" t="inlineStr">
        <is>
          <t>SALE-0091</t>
        </is>
      </c>
    </row>
    <row r="27" ht="30" customHeight="1">
      <c r="A27" s="29" t="inlineStr">
        <is>
          <t>Diamond flag</t>
        </is>
      </c>
      <c r="B27" s="30" t="inlineStr">
        <is>
          <t>n/a</t>
        </is>
      </c>
      <c r="C27" s="31" t="inlineStr">
        <is>
          <t>enum</t>
        </is>
      </c>
      <c r="D27" s="31" t="inlineStr">
        <is>
          <t>DIMENSION</t>
        </is>
      </c>
      <c r="E27" s="32" t="inlineStr"/>
      <c r="F27" s="32" t="inlineStr">
        <is>
          <t>leads.priority (editable &lt;select&gt;, PRIORITY_OPTIONS incl. 'diamond')</t>
        </is>
      </c>
      <c r="G27" s="32" t="inlineStr">
        <is>
          <t>point-in-time</t>
        </is>
      </c>
      <c r="H27" s="27" t="inlineStr">
        <is>
          <t>LIVE</t>
        </is>
      </c>
      <c r="I27" s="33" t="inlineStr">
        <is>
          <t>SALE-0092</t>
        </is>
      </c>
    </row>
    <row r="28" ht="30" customHeight="1">
      <c r="A28" s="23" t="inlineStr">
        <is>
          <t>Name</t>
        </is>
      </c>
      <c r="B28" s="37" t="n"/>
      <c r="C28" s="25" t="inlineStr">
        <is>
          <t>text</t>
        </is>
      </c>
      <c r="D28" s="25" t="inlineStr">
        <is>
          <t>RAW</t>
        </is>
      </c>
      <c r="E28" s="26" t="inlineStr"/>
      <c r="F28" s="26" t="inlineStr">
        <is>
          <t>leads.full_name || leads.handle || leads.email (fallback chain) + leads.tags[]</t>
        </is>
      </c>
      <c r="G28" s="26" t="inlineStr">
        <is>
          <t>point-in-time</t>
        </is>
      </c>
      <c r="H28" s="27" t="inlineStr">
        <is>
          <t>LIVE</t>
        </is>
      </c>
      <c r="I28" s="28" t="inlineStr">
        <is>
          <t>SALE-0093</t>
        </is>
      </c>
    </row>
    <row r="29" ht="30" customHeight="1">
      <c r="A29" s="29" t="inlineStr">
        <is>
          <t>Stage</t>
        </is>
      </c>
      <c r="B29" s="30" t="inlineStr">
        <is>
          <t>n/a</t>
        </is>
      </c>
      <c r="C29" s="31" t="inlineStr">
        <is>
          <t>enum</t>
        </is>
      </c>
      <c r="D29" s="31" t="inlineStr">
        <is>
          <t>DIMENSION</t>
        </is>
      </c>
      <c r="E29" s="32" t="inlineStr"/>
      <c r="F29" s="32" t="inlineStr">
        <is>
          <t>leads.pipeline_stage (editable &lt;select&gt;: cold/warm/hot/diamond)</t>
        </is>
      </c>
      <c r="G29" s="32" t="inlineStr">
        <is>
          <t>point-in-time</t>
        </is>
      </c>
      <c r="H29" s="27" t="inlineStr">
        <is>
          <t>LIVE</t>
        </is>
      </c>
      <c r="I29" s="33" t="inlineStr">
        <is>
          <t>SALE-0094</t>
        </is>
      </c>
    </row>
    <row r="30" ht="30" customHeight="1">
      <c r="A30" s="23" t="inlineStr">
        <is>
          <t>Lead Status</t>
        </is>
      </c>
      <c r="B30" s="24" t="inlineStr">
        <is>
          <t>n/a</t>
        </is>
      </c>
      <c r="C30" s="25" t="inlineStr">
        <is>
          <t>enum</t>
        </is>
      </c>
      <c r="D30" s="25" t="inlineStr">
        <is>
          <t>DIMENSION</t>
        </is>
      </c>
      <c r="E30" s="26" t="inlineStr"/>
      <c r="F30" s="26" t="inlineStr">
        <is>
          <t>leads.status (chip via pipelineStageInfo() showing real lead_status enum, + editable &lt;select&gt; writing the page's separate STATUS_OPTIONS vocabulary)</t>
        </is>
      </c>
      <c r="G30" s="26" t="inlineStr">
        <is>
          <t>point-in-time</t>
        </is>
      </c>
      <c r="H30" s="27" t="inlineStr">
        <is>
          <t>LIVE</t>
        </is>
      </c>
      <c r="I30" s="28" t="inlineStr">
        <is>
          <t>SALE-0095</t>
        </is>
      </c>
    </row>
    <row r="31" ht="30" customHeight="1">
      <c r="A31" s="29" t="inlineStr">
        <is>
          <t>Pre-call vid</t>
        </is>
      </c>
      <c r="B31" s="30" t="inlineStr">
        <is>
          <t>n/a</t>
        </is>
      </c>
      <c r="C31" s="31" t="inlineStr">
        <is>
          <t>boolean</t>
        </is>
      </c>
      <c r="D31" s="31" t="inlineStr">
        <is>
          <t>STATUS</t>
        </is>
      </c>
      <c r="E31" s="32" t="inlineStr"/>
      <c r="F31" s="32" t="inlineStr">
        <is>
          <t>leads.precall_video_watched (boolean toggle) + generatePreCallVideoLinkFn (copy-link action)</t>
        </is>
      </c>
      <c r="G31" s="32" t="inlineStr">
        <is>
          <t>point-in-time</t>
        </is>
      </c>
      <c r="H31" s="27" t="inlineStr">
        <is>
          <t>LIVE</t>
        </is>
      </c>
      <c r="I31" s="33" t="inlineStr">
        <is>
          <t>SALE-0096</t>
        </is>
      </c>
    </row>
    <row r="32" ht="30" customHeight="1">
      <c r="A32" s="23" t="inlineStr">
        <is>
          <t>Qualification</t>
        </is>
      </c>
      <c r="B32" s="37" t="n"/>
      <c r="C32" s="25" t="inlineStr">
        <is>
          <t>count (fraction filled)</t>
        </is>
      </c>
      <c r="D32" s="25" t="inlineStr">
        <is>
          <t>AGGREGATED</t>
        </is>
      </c>
      <c r="E32" s="26" t="inlineStr">
        <is>
          <t>`${APP_COLS.filter(c=&gt;app[c.key]).length}/${APP_COLS.length} filled` (leads.tsx:1418-1421), collapsed view; expands into 11 individual columns below</t>
        </is>
      </c>
      <c r="F32" s="26" t="inlineStr">
        <is>
          <t>leads.application_data (JSONB) — count of APPLICATION_FIELD_LABELS keys present</t>
        </is>
      </c>
      <c r="G32" s="26" t="inlineStr">
        <is>
          <t>point-in-time</t>
        </is>
      </c>
      <c r="H32" s="27" t="inlineStr">
        <is>
          <t>LIVE</t>
        </is>
      </c>
      <c r="I32" s="28" t="inlineStr">
        <is>
          <t>SALE-0097</t>
        </is>
      </c>
    </row>
    <row r="33" ht="30" customHeight="1">
      <c r="A33" s="29" t="inlineStr">
        <is>
          <t>Experience</t>
        </is>
      </c>
      <c r="B33" s="37" t="n"/>
      <c r="C33" s="31" t="inlineStr">
        <is>
          <t>text</t>
        </is>
      </c>
      <c r="D33" s="31" t="inlineStr">
        <is>
          <t>RAW</t>
        </is>
      </c>
      <c r="E33" s="32" t="inlineStr"/>
      <c r="F33" s="32" t="inlineStr">
        <is>
          <t>leads.application_data-&gt;&gt;'experience' (src/lib/application-fields.ts:9)</t>
        </is>
      </c>
      <c r="G33" s="32" t="inlineStr">
        <is>
          <t>point-in-time</t>
        </is>
      </c>
      <c r="H33" s="27" t="inlineStr">
        <is>
          <t>LIVE</t>
        </is>
      </c>
      <c r="I33" s="33" t="inlineStr">
        <is>
          <t>SALE-0098</t>
        </is>
      </c>
    </row>
    <row r="34" ht="30" customHeight="1">
      <c r="A34" s="23" t="inlineStr">
        <is>
          <t>Work/School</t>
        </is>
      </c>
      <c r="B34" s="37" t="n"/>
      <c r="C34" s="25" t="inlineStr">
        <is>
          <t>text</t>
        </is>
      </c>
      <c r="D34" s="25" t="inlineStr">
        <is>
          <t>RAW</t>
        </is>
      </c>
      <c r="E34" s="26" t="inlineStr"/>
      <c r="F34" s="26" t="inlineStr">
        <is>
          <t>leads.application_data-&gt;&gt;'work_school'</t>
        </is>
      </c>
      <c r="G34" s="26" t="inlineStr">
        <is>
          <t>point-in-time</t>
        </is>
      </c>
      <c r="H34" s="27" t="inlineStr">
        <is>
          <t>LIVE</t>
        </is>
      </c>
      <c r="I34" s="28" t="inlineStr">
        <is>
          <t>SALE-0099</t>
        </is>
      </c>
    </row>
    <row r="35" ht="30" customHeight="1">
      <c r="A35" s="29" t="inlineStr">
        <is>
          <t>Focus</t>
        </is>
      </c>
      <c r="B35" s="37" t="n"/>
      <c r="C35" s="31" t="inlineStr">
        <is>
          <t>text</t>
        </is>
      </c>
      <c r="D35" s="31" t="inlineStr">
        <is>
          <t>RAW</t>
        </is>
      </c>
      <c r="E35" s="32" t="inlineStr"/>
      <c r="F35" s="32" t="inlineStr">
        <is>
          <t>leads.application_data-&gt;&gt;'focus'</t>
        </is>
      </c>
      <c r="G35" s="32" t="inlineStr">
        <is>
          <t>point-in-time</t>
        </is>
      </c>
      <c r="H35" s="27" t="inlineStr">
        <is>
          <t>LIVE</t>
        </is>
      </c>
      <c r="I35" s="33" t="inlineStr">
        <is>
          <t>SALE-0100</t>
        </is>
      </c>
    </row>
    <row r="36" ht="30" customHeight="1">
      <c r="A36" s="23" t="inlineStr">
        <is>
          <t>Goal</t>
        </is>
      </c>
      <c r="B36" s="37" t="n"/>
      <c r="C36" s="25" t="inlineStr">
        <is>
          <t>text</t>
        </is>
      </c>
      <c r="D36" s="25" t="inlineStr">
        <is>
          <t>RAW</t>
        </is>
      </c>
      <c r="E36" s="26" t="inlineStr"/>
      <c r="F36" s="26" t="inlineStr">
        <is>
          <t>leads.application_data-&gt;&gt;'goal'</t>
        </is>
      </c>
      <c r="G36" s="26" t="inlineStr">
        <is>
          <t>point-in-time</t>
        </is>
      </c>
      <c r="H36" s="27" t="inlineStr">
        <is>
          <t>LIVE</t>
        </is>
      </c>
      <c r="I36" s="28" t="inlineStr">
        <is>
          <t>SALE-0101</t>
        </is>
      </c>
    </row>
    <row r="37" ht="30" customHeight="1">
      <c r="A37" s="29" t="inlineStr">
        <is>
          <t>Candidate Fit</t>
        </is>
      </c>
      <c r="B37" s="37" t="n"/>
      <c r="C37" s="31" t="inlineStr">
        <is>
          <t>text</t>
        </is>
      </c>
      <c r="D37" s="31" t="inlineStr">
        <is>
          <t>RAW</t>
        </is>
      </c>
      <c r="E37" s="32" t="inlineStr"/>
      <c r="F37" s="32" t="inlineStr">
        <is>
          <t>leads.application_data-&gt;&gt;'candidate_fit'</t>
        </is>
      </c>
      <c r="G37" s="32" t="inlineStr">
        <is>
          <t>point-in-time</t>
        </is>
      </c>
      <c r="H37" s="27" t="inlineStr">
        <is>
          <t>LIVE</t>
        </is>
      </c>
      <c r="I37" s="33" t="inlineStr">
        <is>
          <t>SALE-0102</t>
        </is>
      </c>
    </row>
    <row r="38" ht="30" customHeight="1">
      <c r="A38" s="23" t="inlineStr">
        <is>
          <t>Serious</t>
        </is>
      </c>
      <c r="B38" s="37" t="n"/>
      <c r="C38" s="25" t="inlineStr">
        <is>
          <t>text</t>
        </is>
      </c>
      <c r="D38" s="25" t="inlineStr">
        <is>
          <t>RAW</t>
        </is>
      </c>
      <c r="E38" s="26" t="inlineStr"/>
      <c r="F38" s="26" t="inlineStr">
        <is>
          <t>leads.application_data-&gt;&gt;'serious_status'</t>
        </is>
      </c>
      <c r="G38" s="26" t="inlineStr">
        <is>
          <t>point-in-time</t>
        </is>
      </c>
      <c r="H38" s="27" t="inlineStr">
        <is>
          <t>LIVE</t>
        </is>
      </c>
      <c r="I38" s="28" t="inlineStr">
        <is>
          <t>SALE-0103</t>
        </is>
      </c>
    </row>
    <row r="39" ht="30" customHeight="1">
      <c r="A39" s="29" t="inlineStr">
        <is>
          <t>Time</t>
        </is>
      </c>
      <c r="B39" s="37" t="n"/>
      <c r="C39" s="31" t="inlineStr">
        <is>
          <t>text</t>
        </is>
      </c>
      <c r="D39" s="31" t="inlineStr">
        <is>
          <t>RAW</t>
        </is>
      </c>
      <c r="E39" s="32" t="inlineStr"/>
      <c r="F39" s="32" t="inlineStr">
        <is>
          <t>leads.application_data-&gt;&gt;'time'</t>
        </is>
      </c>
      <c r="G39" s="32" t="inlineStr">
        <is>
          <t>point-in-time</t>
        </is>
      </c>
      <c r="H39" s="27" t="inlineStr">
        <is>
          <t>LIVE</t>
        </is>
      </c>
      <c r="I39" s="33" t="inlineStr">
        <is>
          <t>SALE-0104</t>
        </is>
      </c>
    </row>
    <row r="40" ht="30" customHeight="1">
      <c r="A40" s="23" t="inlineStr">
        <is>
          <t>Income</t>
        </is>
      </c>
      <c r="B40" s="37" t="n"/>
      <c r="C40" s="25" t="inlineStr">
        <is>
          <t>text</t>
        </is>
      </c>
      <c r="D40" s="25" t="inlineStr">
        <is>
          <t>RAW</t>
        </is>
      </c>
      <c r="E40" s="26" t="inlineStr"/>
      <c r="F40" s="26" t="inlineStr">
        <is>
          <t>leads.application_data-&gt;&gt;'income'</t>
        </is>
      </c>
      <c r="G40" s="26" t="inlineStr">
        <is>
          <t>point-in-time</t>
        </is>
      </c>
      <c r="H40" s="27" t="inlineStr">
        <is>
          <t>LIVE</t>
        </is>
      </c>
      <c r="I40" s="28" t="inlineStr">
        <is>
          <t>SALE-0105</t>
        </is>
      </c>
    </row>
    <row r="41" ht="30" customHeight="1">
      <c r="A41" s="29" t="inlineStr">
        <is>
          <t>Capital</t>
        </is>
      </c>
      <c r="B41" s="37" t="n"/>
      <c r="C41" s="31" t="inlineStr">
        <is>
          <t>text</t>
        </is>
      </c>
      <c r="D41" s="31" t="inlineStr">
        <is>
          <t>RAW</t>
        </is>
      </c>
      <c r="E41" s="32" t="inlineStr"/>
      <c r="F41" s="32" t="inlineStr">
        <is>
          <t>leads.application_data-&gt;&gt;'capital'</t>
        </is>
      </c>
      <c r="G41" s="32" t="inlineStr">
        <is>
          <t>point-in-time</t>
        </is>
      </c>
      <c r="H41" s="27" t="inlineStr">
        <is>
          <t>LIVE</t>
        </is>
      </c>
      <c r="I41" s="33" t="inlineStr">
        <is>
          <t>SALE-0106</t>
        </is>
      </c>
    </row>
    <row r="42" ht="30" customHeight="1">
      <c r="A42" s="23" t="inlineStr">
        <is>
          <t>Credit</t>
        </is>
      </c>
      <c r="B42" s="37" t="n"/>
      <c r="C42" s="25" t="inlineStr">
        <is>
          <t>text</t>
        </is>
      </c>
      <c r="D42" s="25" t="inlineStr">
        <is>
          <t>RAW</t>
        </is>
      </c>
      <c r="E42" s="26" t="inlineStr"/>
      <c r="F42" s="26" t="inlineStr">
        <is>
          <t>leads.application_data-&gt;&gt;'credit'</t>
        </is>
      </c>
      <c r="G42" s="26" t="inlineStr">
        <is>
          <t>point-in-time</t>
        </is>
      </c>
      <c r="H42" s="27" t="inlineStr">
        <is>
          <t>LIVE</t>
        </is>
      </c>
      <c r="I42" s="28" t="inlineStr">
        <is>
          <t>SALE-0107</t>
        </is>
      </c>
    </row>
    <row r="43" ht="30" customHeight="1">
      <c r="A43" s="29" t="inlineStr">
        <is>
          <t>Commit</t>
        </is>
      </c>
      <c r="B43" s="37" t="n"/>
      <c r="C43" s="31" t="inlineStr">
        <is>
          <t>text</t>
        </is>
      </c>
      <c r="D43" s="31" t="inlineStr">
        <is>
          <t>RAW</t>
        </is>
      </c>
      <c r="E43" s="32" t="inlineStr"/>
      <c r="F43" s="32" t="inlineStr">
        <is>
          <t>leads.application_data-&gt;&gt;'commitment'</t>
        </is>
      </c>
      <c r="G43" s="32" t="inlineStr">
        <is>
          <t>point-in-time</t>
        </is>
      </c>
      <c r="H43" s="27" t="inlineStr">
        <is>
          <t>LIVE</t>
        </is>
      </c>
      <c r="I43" s="33" t="inlineStr">
        <is>
          <t>SALE-0108</t>
        </is>
      </c>
    </row>
    <row r="44" ht="30" customHeight="1">
      <c r="A44" s="23" t="inlineStr">
        <is>
          <t>Email</t>
        </is>
      </c>
      <c r="B44" s="37" t="n"/>
      <c r="C44" s="25" t="inlineStr">
        <is>
          <t>text</t>
        </is>
      </c>
      <c r="D44" s="25" t="inlineStr">
        <is>
          <t>RAW</t>
        </is>
      </c>
      <c r="E44" s="26" t="inlineStr"/>
      <c r="F44" s="26" t="inlineStr">
        <is>
          <t>leads.email</t>
        </is>
      </c>
      <c r="G44" s="26" t="inlineStr">
        <is>
          <t>point-in-time</t>
        </is>
      </c>
      <c r="H44" s="27" t="inlineStr">
        <is>
          <t>LIVE</t>
        </is>
      </c>
      <c r="I44" s="28" t="inlineStr">
        <is>
          <t>SALE-0109</t>
        </is>
      </c>
    </row>
    <row r="45" ht="30" customHeight="1">
      <c r="A45" s="29" t="inlineStr">
        <is>
          <t>Setter</t>
        </is>
      </c>
      <c r="B45" s="30" t="inlineStr">
        <is>
          <t>n/a</t>
        </is>
      </c>
      <c r="C45" s="31" t="inlineStr">
        <is>
          <t>text (resolved name)</t>
        </is>
      </c>
      <c r="D45" s="31" t="inlineStr">
        <is>
          <t>DIMENSION</t>
        </is>
      </c>
      <c r="E45" s="32" t="inlineStr"/>
      <c r="F45" s="32" t="inlineStr">
        <is>
          <t>leads.assigned_setter_id resolved via profiles.display_name (src/routes/_authenticated.leads.tsx:639-651)</t>
        </is>
      </c>
      <c r="G45" s="32" t="inlineStr">
        <is>
          <t>point-in-time</t>
        </is>
      </c>
      <c r="H45" s="27" t="inlineStr">
        <is>
          <t>LIVE</t>
        </is>
      </c>
      <c r="I45" s="33" t="inlineStr">
        <is>
          <t>SALE-0110</t>
        </is>
      </c>
    </row>
    <row r="46" ht="30" customHeight="1">
      <c r="A46" s="23" t="inlineStr">
        <is>
          <t>Closer</t>
        </is>
      </c>
      <c r="B46" s="24" t="inlineStr">
        <is>
          <t>n/a</t>
        </is>
      </c>
      <c r="C46" s="25" t="inlineStr">
        <is>
          <t>text</t>
        </is>
      </c>
      <c r="D46" s="25" t="inlineStr">
        <is>
          <t>DIMENSION</t>
        </is>
      </c>
      <c r="E46" s="26" t="inlineStr"/>
      <c r="F46" s="26" t="inlineStr">
        <is>
          <t>calls.closer_name via the embedded calls(...) join on the leads query, resolved to most-recent-call's closer_name (leads.tsx:554-568)</t>
        </is>
      </c>
      <c r="G46" s="26" t="inlineStr">
        <is>
          <t>point-in-time (latest scheduled call)</t>
        </is>
      </c>
      <c r="H46" s="27" t="inlineStr">
        <is>
          <t>LIVE</t>
        </is>
      </c>
      <c r="I46" s="28" t="inlineStr">
        <is>
          <t>SALE-0111</t>
        </is>
      </c>
    </row>
    <row r="47" ht="30" customHeight="1">
      <c r="A47" s="29" t="inlineStr">
        <is>
          <t>Phone</t>
        </is>
      </c>
      <c r="B47" s="37" t="n"/>
      <c r="C47" s="31" t="inlineStr">
        <is>
          <t>text</t>
        </is>
      </c>
      <c r="D47" s="31" t="inlineStr">
        <is>
          <t>RAW</t>
        </is>
      </c>
      <c r="E47" s="32" t="inlineStr"/>
      <c r="F47" s="32" t="inlineStr">
        <is>
          <t>leads.phone</t>
        </is>
      </c>
      <c r="G47" s="32" t="inlineStr">
        <is>
          <t>point-in-time</t>
        </is>
      </c>
      <c r="H47" s="27" t="inlineStr">
        <is>
          <t>LIVE</t>
        </is>
      </c>
      <c r="I47" s="33" t="inlineStr">
        <is>
          <t>SALE-0112</t>
        </is>
      </c>
    </row>
    <row r="48" ht="30" customHeight="1">
      <c r="A48" s="23" t="inlineStr">
        <is>
          <t>Handle</t>
        </is>
      </c>
      <c r="B48" s="37" t="n"/>
      <c r="C48" s="25" t="inlineStr">
        <is>
          <t>text</t>
        </is>
      </c>
      <c r="D48" s="25" t="inlineStr">
        <is>
          <t>RAW</t>
        </is>
      </c>
      <c r="E48" s="26" t="inlineStr"/>
      <c r="F48" s="26" t="inlineStr">
        <is>
          <t>leads.handle</t>
        </is>
      </c>
      <c r="G48" s="26" t="inlineStr">
        <is>
          <t>point-in-time</t>
        </is>
      </c>
      <c r="H48" s="27" t="inlineStr">
        <is>
          <t>LIVE</t>
        </is>
      </c>
      <c r="I48" s="28" t="inlineStr">
        <is>
          <t>SALE-0113</t>
        </is>
      </c>
    </row>
    <row r="49" ht="6" customHeight="1"/>
    <row r="50" ht="20" customHeight="1">
      <c r="A50" s="22" t="inlineStr">
        <is>
          <t>LEAD DETAIL</t>
        </is>
      </c>
    </row>
    <row r="51" ht="30" customHeight="1">
      <c r="A51" s="29" t="inlineStr">
        <is>
          <t>Stage</t>
        </is>
      </c>
      <c r="B51" s="30" t="inlineStr">
        <is>
          <t>n/a</t>
        </is>
      </c>
      <c r="C51" s="31" t="inlineStr">
        <is>
          <t>enum</t>
        </is>
      </c>
      <c r="D51" s="31" t="inlineStr">
        <is>
          <t>DIMENSION</t>
        </is>
      </c>
      <c r="E51" s="32" t="inlineStr"/>
      <c r="F51" s="32" t="inlineStr">
        <is>
          <t>pipelineStageInfo(lead.status) — src/routes/_authenticated.leads.tsx:1790-2049 (LeadDetail component):1786</t>
        </is>
      </c>
      <c r="G51" s="32" t="inlineStr">
        <is>
          <t>point-in-time</t>
        </is>
      </c>
      <c r="H51" s="27" t="inlineStr">
        <is>
          <t>LIVE</t>
        </is>
      </c>
      <c r="I51" s="33" t="inlineStr">
        <is>
          <t>SALE-0114</t>
        </is>
      </c>
    </row>
    <row r="52" ht="30" customHeight="1">
      <c r="A52" s="23" t="inlineStr">
        <is>
          <t>Source</t>
        </is>
      </c>
      <c r="B52" s="24" t="inlineStr">
        <is>
          <t>n/a</t>
        </is>
      </c>
      <c r="C52" s="25" t="inlineStr">
        <is>
          <t>text (normalized platform)</t>
        </is>
      </c>
      <c r="D52" s="25" t="inlineStr">
        <is>
          <t>DIMENSION</t>
        </is>
      </c>
      <c r="E52" s="26" t="inlineStr"/>
      <c r="F52" s="26" t="inlineStr">
        <is>
          <t>normalizeSocialPlatform(lead.source_connector, lead.source_platform) — leads.tsx:1788,1806-1809</t>
        </is>
      </c>
      <c r="G52" s="26" t="inlineStr">
        <is>
          <t>point-in-time</t>
        </is>
      </c>
      <c r="H52" s="27" t="inlineStr">
        <is>
          <t>LIVE</t>
        </is>
      </c>
      <c r="I52" s="28" t="inlineStr">
        <is>
          <t>SALE-0115</t>
        </is>
      </c>
    </row>
    <row r="53" ht="30" customHeight="1">
      <c r="A53" s="29" t="inlineStr">
        <is>
          <t>Assigned setter</t>
        </is>
      </c>
      <c r="B53" s="30" t="inlineStr">
        <is>
          <t>n/a</t>
        </is>
      </c>
      <c r="C53" s="31" t="inlineStr">
        <is>
          <t>text</t>
        </is>
      </c>
      <c r="D53" s="31" t="inlineStr">
        <is>
          <t>DIMENSION</t>
        </is>
      </c>
      <c r="E53" s="32" t="inlineStr"/>
      <c r="F53" s="32" t="inlineStr">
        <is>
          <t>setterName prop, resolved from profiles.display_name as in SALE-0110</t>
        </is>
      </c>
      <c r="G53" s="32" t="inlineStr">
        <is>
          <t>point-in-time</t>
        </is>
      </c>
      <c r="H53" s="27" t="inlineStr">
        <is>
          <t>LIVE</t>
        </is>
      </c>
      <c r="I53" s="33" t="inlineStr">
        <is>
          <t>SALE-0116</t>
        </is>
      </c>
    </row>
    <row r="54" ht="30" customHeight="1">
      <c r="A54" s="23" t="inlineStr">
        <is>
          <t>Assigned closer</t>
        </is>
      </c>
      <c r="B54" s="24" t="inlineStr">
        <is>
          <t>n/a</t>
        </is>
      </c>
      <c r="C54" s="25" t="inlineStr">
        <is>
          <t>text</t>
        </is>
      </c>
      <c r="D54" s="25" t="inlineStr">
        <is>
          <t>DIMENSION</t>
        </is>
      </c>
      <c r="E54" s="26" t="inlineStr"/>
      <c r="F54" s="26" t="inlineStr">
        <is>
          <t>lead.closerName (calls.closer_name), as in SALE-0111</t>
        </is>
      </c>
      <c r="G54" s="26" t="inlineStr">
        <is>
          <t>point-in-time</t>
        </is>
      </c>
      <c r="H54" s="27" t="inlineStr">
        <is>
          <t>LIVE</t>
        </is>
      </c>
      <c r="I54" s="28" t="inlineStr">
        <is>
          <t>SALE-0117</t>
        </is>
      </c>
    </row>
    <row r="55" ht="30" customHeight="1">
      <c r="A55" s="29" t="inlineStr">
        <is>
          <t>Lead age</t>
        </is>
      </c>
      <c r="B55" s="37" t="n"/>
      <c r="C55" s="31" t="inlineStr">
        <is>
          <t>duration (text)</t>
        </is>
      </c>
      <c r="D55" s="31" t="inlineStr">
        <is>
          <t>DERIVED</t>
        </is>
      </c>
      <c r="E55" s="32" t="inlineStr">
        <is>
          <t>now - (first_touch_at ?? created_at), coarse one-unit output ('&lt;1h'/'Xh'/'Xd')</t>
        </is>
      </c>
      <c r="F55" s="32" t="inlineStr">
        <is>
          <t>formatLeadAge(entryAt, now) — src/lib/lead-pipeline.ts:101-108</t>
        </is>
      </c>
      <c r="G55" s="32" t="inlineStr">
        <is>
          <t>computed at render time ('now')</t>
        </is>
      </c>
      <c r="H55" s="27" t="inlineStr">
        <is>
          <t>LIVE</t>
        </is>
      </c>
      <c r="I55" s="33" t="inlineStr">
        <is>
          <t>SALE-0118</t>
        </is>
      </c>
    </row>
    <row r="56" ht="30" customHeight="1">
      <c r="A56" s="23" t="inlineStr">
        <is>
          <t>Calls on record</t>
        </is>
      </c>
      <c r="B56" s="37" t="n"/>
      <c r="C56" s="25" t="inlineStr">
        <is>
          <t>count</t>
        </is>
      </c>
      <c r="D56" s="25" t="inlineStr">
        <is>
          <t>AGGREGATED</t>
        </is>
      </c>
      <c r="E56" s="26" t="inlineStr">
        <is>
          <t>calls.length for this lead_id (via the leads query's embedded calls(...) select, not a separate per-lead query)</t>
        </is>
      </c>
      <c r="F56" s="26" t="inlineStr">
        <is>
          <t>lead.callCount — count of calls rows embedded-joined per lead (leads.tsx:565)</t>
        </is>
      </c>
      <c r="G56" s="26" t="inlineStr">
        <is>
          <t>all-time (no date filter on the calls join)</t>
        </is>
      </c>
      <c r="H56" s="27" t="inlineStr">
        <is>
          <t>LIVE</t>
        </is>
      </c>
      <c r="I56" s="28" t="inlineStr">
        <is>
          <t>SALE-0119</t>
        </is>
      </c>
    </row>
    <row r="57" ht="30" customHeight="1">
      <c r="A57" s="29" t="inlineStr">
        <is>
          <t>Availability</t>
        </is>
      </c>
      <c r="B57" s="37" t="n"/>
      <c r="C57" s="31" t="inlineStr">
        <is>
          <t>text (status headline)</t>
        </is>
      </c>
      <c r="D57" s="31" t="inlineStr">
        <is>
          <t>DERIVED</t>
        </is>
      </c>
      <c r="E57" s="32" t="inlineStr">
        <is>
          <t>bucket + headline text from lead_status + callCount + lastCallAt + operational_work_items callback due date</t>
        </is>
      </c>
      <c r="F57" s="32" t="inlineStr">
        <is>
          <t>deriveLeadAvailability() — src/lib/lead-pipeline.ts:132-168, same function as SALE-0084</t>
        </is>
      </c>
      <c r="G57" s="32" t="inlineStr">
        <is>
          <t>computed at render time</t>
        </is>
      </c>
      <c r="H57" s="27" t="inlineStr">
        <is>
          <t>LIVE</t>
        </is>
      </c>
      <c r="I57" s="33" t="inlineStr">
        <is>
          <t>SALE-0120</t>
        </is>
      </c>
    </row>
    <row r="58" ht="30" customHeight="1">
      <c r="A58" s="23" t="inlineStr">
        <is>
          <t>Content touches</t>
        </is>
      </c>
      <c r="B58" s="37" t="n"/>
      <c r="C58" s="25" t="inlineStr">
        <is>
          <t>count</t>
        </is>
      </c>
      <c r="D58" s="25" t="inlineStr">
        <is>
          <t>AGGREGATED</t>
        </is>
      </c>
      <c r="E58" s="26" t="inlineStr">
        <is>
          <t>timeline.touches.length</t>
        </is>
      </c>
      <c r="F58" s="26" t="inlineStr">
        <is>
          <t>count(lead_content_touches) for this lead_id — leads.tsx:1646-1652</t>
        </is>
      </c>
      <c r="G58" s="26" t="inlineStr">
        <is>
          <t>all-time (no range filter, limit 50)</t>
        </is>
      </c>
      <c r="H58" s="27" t="inlineStr">
        <is>
          <t>LIVE</t>
        </is>
      </c>
      <c r="I58" s="28" t="inlineStr">
        <is>
          <t>SALE-0121</t>
        </is>
      </c>
    </row>
    <row r="59" ht="30" customHeight="1">
      <c r="A59" s="29" t="inlineStr">
        <is>
          <t>Conversations</t>
        </is>
      </c>
      <c r="B59" s="37" t="n"/>
      <c r="C59" s="31" t="inlineStr">
        <is>
          <t>count</t>
        </is>
      </c>
      <c r="D59" s="31" t="inlineStr">
        <is>
          <t>AGGREGATED</t>
        </is>
      </c>
      <c r="E59" s="32" t="inlineStr">
        <is>
          <t>timeline.convs.length</t>
        </is>
      </c>
      <c r="F59" s="32" t="inlineStr">
        <is>
          <t>count(conversations) for this lead_id — leads.tsx:1660-1665</t>
        </is>
      </c>
      <c r="G59" s="32" t="inlineStr">
        <is>
          <t>all-time (limit 10)</t>
        </is>
      </c>
      <c r="H59" s="27" t="inlineStr">
        <is>
          <t>LIVE</t>
        </is>
      </c>
      <c r="I59" s="33" t="inlineStr">
        <is>
          <t>SALE-0122</t>
        </is>
      </c>
    </row>
    <row r="60" ht="30" customHeight="1">
      <c r="A60" s="23" t="inlineStr">
        <is>
          <t>Content path</t>
        </is>
      </c>
      <c r="B60" s="24" t="inlineStr">
        <is>
          <t>n/a</t>
        </is>
      </c>
      <c r="C60" s="25" t="inlineStr">
        <is>
          <t>list of events</t>
        </is>
      </c>
      <c r="D60" s="25" t="inlineStr">
        <is>
          <t>EVENT</t>
        </is>
      </c>
      <c r="E60" s="26" t="inlineStr">
        <is>
          <t>Chronological list (touched_at desc) of touch_type + content title/platform, 'first → last' framing</t>
        </is>
      </c>
      <c r="F60" s="26" t="inlineStr">
        <is>
          <t>lead_content_touches joined to content_pieces(title,platform) — leads.tsx:1646-1652,1995-2021</t>
        </is>
      </c>
      <c r="G60" s="26" t="inlineStr">
        <is>
          <t>all-time (limit 50)</t>
        </is>
      </c>
      <c r="H60" s="27" t="inlineStr">
        <is>
          <t>LIVE</t>
        </is>
      </c>
      <c r="I60" s="28" t="inlineStr">
        <is>
          <t>SALE-0123</t>
        </is>
      </c>
    </row>
    <row r="61" ht="30" customHeight="1">
      <c r="A61" s="29" t="inlineStr">
        <is>
          <t>Calls</t>
        </is>
      </c>
      <c r="B61" s="30" t="inlineStr">
        <is>
          <t>n/a</t>
        </is>
      </c>
      <c r="C61" s="31" t="inlineStr">
        <is>
          <t>list of events + $ sum</t>
        </is>
      </c>
      <c r="D61" s="31" t="inlineStr">
        <is>
          <t>EVENT</t>
        </is>
      </c>
      <c r="E61" s="32" t="inlineStr">
        <is>
          <t>List of calls(status, scheduled_for, showed, closed, cash_collected_cents, call_summary), plus totalCash = sum(cash_collected_cents) (leads.tsx:1784)</t>
        </is>
      </c>
      <c r="F61" s="32" t="inlineStr">
        <is>
          <t>calls table for this lead_id — leads.tsx:1653-1659</t>
        </is>
      </c>
      <c r="G61" s="32" t="inlineStr">
        <is>
          <t>all-time (limit 20)</t>
        </is>
      </c>
      <c r="H61" s="27" t="inlineStr">
        <is>
          <t>LIVE</t>
        </is>
      </c>
      <c r="I61" s="33" t="inlineStr">
        <is>
          <t>SALE-0124</t>
        </is>
      </c>
    </row>
    <row r="62" ht="6" customHeight="1"/>
  </sheetData>
  <autoFilter ref="A4:I61"/>
  <mergeCells count="6">
    <mergeCell ref="A25:I25"/>
    <mergeCell ref="A10:I10"/>
    <mergeCell ref="A5:I5"/>
    <mergeCell ref="A13:I13"/>
    <mergeCell ref="A50:I50"/>
    <mergeCell ref="A20:I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EOD Reports</t>
        </is>
      </c>
    </row>
    <row r="2">
      <c r="A2" s="21" t="inlineStr">
        <is>
          <t>34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DM SETTER EOD FIELDS</t>
        </is>
      </c>
    </row>
    <row r="6" ht="30" customHeight="1">
      <c r="A6" s="23" t="inlineStr">
        <is>
          <t>Inbound DMs Sent</t>
        </is>
      </c>
      <c r="B6" s="37" t="n"/>
      <c r="C6" s="25" t="inlineStr">
        <is>
          <t>count</t>
        </is>
      </c>
      <c r="D6" s="25" t="inlineStr">
        <is>
          <t>RAW</t>
        </is>
      </c>
      <c r="E6" s="26" t="inlineStr"/>
      <c r="F6" s="26" t="inlineStr">
        <is>
          <t>public.setter_activity (org_id uuid not null, RLS: is_org_member — supabase/migrations/20260518160304_....sql:2-31).inbound_dms_sent, written by buildSetterActivityPayload() — src/lib/eod-reports.ts:440-479</t>
        </is>
      </c>
      <c r="G6" s="26" t="inlineStr">
        <is>
          <t>'today' at submission time (activity_date, defaults to today)</t>
        </is>
      </c>
      <c r="H6" s="27" t="inlineStr">
        <is>
          <t>LIVE</t>
        </is>
      </c>
      <c r="I6" s="28" t="inlineStr">
        <is>
          <t>SALE-0125</t>
        </is>
      </c>
    </row>
    <row r="7" ht="30" customHeight="1">
      <c r="A7" s="29" t="inlineStr">
        <is>
          <t>Outbound DMs Sent</t>
        </is>
      </c>
      <c r="B7" s="37" t="n"/>
      <c r="C7" s="31" t="inlineStr">
        <is>
          <t>count</t>
        </is>
      </c>
      <c r="D7" s="31" t="inlineStr">
        <is>
          <t>RAW</t>
        </is>
      </c>
      <c r="E7" s="32" t="inlineStr"/>
      <c r="F7" s="32" t="inlineStr">
        <is>
          <t>public.setter_activity (org_id uuid not null, RLS: is_org_member — supabase/migrations/20260518160304_....sql:2-31).outbound_dms_sent, written by buildSetterActivityPayload() — src/lib/eod-reports.ts:440-479</t>
        </is>
      </c>
      <c r="G7" s="32" t="inlineStr">
        <is>
          <t>'today' at submission time (activity_date, defaults to today)</t>
        </is>
      </c>
      <c r="H7" s="27" t="inlineStr">
        <is>
          <t>LIVE</t>
        </is>
      </c>
      <c r="I7" s="33" t="inlineStr">
        <is>
          <t>SALE-0126</t>
        </is>
      </c>
    </row>
    <row r="8" ht="30" customHeight="1">
      <c r="A8" s="23" t="inlineStr">
        <is>
          <t>Replies</t>
        </is>
      </c>
      <c r="B8" s="37" t="n"/>
      <c r="C8" s="25" t="inlineStr">
        <is>
          <t>count</t>
        </is>
      </c>
      <c r="D8" s="25" t="inlineStr">
        <is>
          <t>RAW</t>
        </is>
      </c>
      <c r="E8" s="26" t="inlineStr"/>
      <c r="F8" s="26" t="inlineStr">
        <is>
          <t>public.setter_activity (org_id uuid not null, RLS: is_org_member — supabase/migrations/20260518160304_....sql:2-31).replies, written by buildSetterActivityPayload() — src/lib/eod-reports.ts:440-479</t>
        </is>
      </c>
      <c r="G8" s="26" t="inlineStr">
        <is>
          <t>'today' at submission time (activity_date, defaults to today)</t>
        </is>
      </c>
      <c r="H8" s="27" t="inlineStr">
        <is>
          <t>LIVE</t>
        </is>
      </c>
      <c r="I8" s="28" t="inlineStr">
        <is>
          <t>SALE-0127</t>
        </is>
      </c>
    </row>
    <row r="9" ht="30" customHeight="1">
      <c r="A9" s="29" t="inlineStr">
        <is>
          <t>Leads Contacted</t>
        </is>
      </c>
      <c r="B9" s="37" t="n"/>
      <c r="C9" s="31" t="inlineStr">
        <is>
          <t>count</t>
        </is>
      </c>
      <c r="D9" s="31" t="inlineStr">
        <is>
          <t>RAW</t>
        </is>
      </c>
      <c r="E9" s="32" t="inlineStr"/>
      <c r="F9" s="32" t="inlineStr">
        <is>
          <t>public.setter_activity (org_id uuid not null, RLS: is_org_member — supabase/migrations/20260518160304_....sql:2-31).leads_contacted, written by buildSetterActivityPayload() — src/lib/eod-reports.ts:440-479</t>
        </is>
      </c>
      <c r="G9" s="32" t="inlineStr">
        <is>
          <t>'today' at submission time (activity_date, defaults to today)</t>
        </is>
      </c>
      <c r="H9" s="27" t="inlineStr">
        <is>
          <t>LIVE</t>
        </is>
      </c>
      <c r="I9" s="33" t="inlineStr">
        <is>
          <t>SALE-0128</t>
        </is>
      </c>
    </row>
    <row r="10" ht="30" customHeight="1">
      <c r="A10" s="23" t="inlineStr">
        <is>
          <t>Qualified Convos</t>
        </is>
      </c>
      <c r="B10" s="37" t="n"/>
      <c r="C10" s="25" t="inlineStr">
        <is>
          <t>count</t>
        </is>
      </c>
      <c r="D10" s="25" t="inlineStr">
        <is>
          <t>RAW</t>
        </is>
      </c>
      <c r="E10" s="26" t="inlineStr"/>
      <c r="F10" s="26" t="inlineStr">
        <is>
          <t>public.setter_activity (org_id uuid not null, RLS: is_org_member — supabase/migrations/20260518160304_....sql:2-31).qualified_convos, written by buildSetterActivityPayload() — src/lib/eod-reports.ts:440-479</t>
        </is>
      </c>
      <c r="G10" s="26" t="inlineStr">
        <is>
          <t>'today' at submission time (activity_date, defaults to today)</t>
        </is>
      </c>
      <c r="H10" s="27" t="inlineStr">
        <is>
          <t>LIVE</t>
        </is>
      </c>
      <c r="I10" s="28" t="inlineStr">
        <is>
          <t>SALE-0129</t>
        </is>
      </c>
    </row>
    <row r="11" ht="30" customHeight="1">
      <c r="A11" s="29" t="inlineStr">
        <is>
          <t>Follow-ups</t>
        </is>
      </c>
      <c r="B11" s="37" t="n"/>
      <c r="C11" s="31" t="inlineStr">
        <is>
          <t>count</t>
        </is>
      </c>
      <c r="D11" s="31" t="inlineStr">
        <is>
          <t>RAW</t>
        </is>
      </c>
      <c r="E11" s="32" t="inlineStr"/>
      <c r="F11" s="32" t="inlineStr">
        <is>
          <t>public.setter_activity (org_id uuid not null, RLS: is_org_member — supabase/migrations/20260518160304_....sql:2-31).followups_sent, written by buildSetterActivityPayload() — src/lib/eod-reports.ts:440-479</t>
        </is>
      </c>
      <c r="G11" s="32" t="inlineStr">
        <is>
          <t>'today' at submission time (activity_date, defaults to today)</t>
        </is>
      </c>
      <c r="H11" s="27" t="inlineStr">
        <is>
          <t>LIVE</t>
        </is>
      </c>
      <c r="I11" s="33" t="inlineStr">
        <is>
          <t>SALE-0130</t>
        </is>
      </c>
    </row>
    <row r="12" ht="30" customHeight="1">
      <c r="A12" s="23" t="inlineStr">
        <is>
          <t>VSL Page Links Sent</t>
        </is>
      </c>
      <c r="B12" s="37" t="n"/>
      <c r="C12" s="25" t="inlineStr">
        <is>
          <t>count</t>
        </is>
      </c>
      <c r="D12" s="25" t="inlineStr">
        <is>
          <t>RAW</t>
        </is>
      </c>
      <c r="E12" s="26" t="inlineStr"/>
      <c r="F12" s="26" t="inlineStr">
        <is>
          <t>public.setter_activity (org_id uuid not null, RLS: is_org_member — supabase/migrations/20260518160304_....sql:2-31).links_sent, written by buildSetterActivityPayload() — src/lib/eod-reports.ts:440-479</t>
        </is>
      </c>
      <c r="G12" s="26" t="inlineStr">
        <is>
          <t>'today' at submission time (activity_date, defaults to today)</t>
        </is>
      </c>
      <c r="H12" s="27" t="inlineStr">
        <is>
          <t>LIVE</t>
        </is>
      </c>
      <c r="I12" s="28" t="inlineStr">
        <is>
          <t>SALE-0131</t>
        </is>
      </c>
    </row>
    <row r="13" ht="30" customHeight="1">
      <c r="A13" s="29" t="inlineStr">
        <is>
          <t>VSL Page Links Clicked</t>
        </is>
      </c>
      <c r="B13" s="37" t="n"/>
      <c r="C13" s="31" t="inlineStr">
        <is>
          <t>count</t>
        </is>
      </c>
      <c r="D13" s="31" t="inlineStr">
        <is>
          <t>RAW</t>
        </is>
      </c>
      <c r="E13" s="32" t="inlineStr"/>
      <c r="F13" s="32" t="inlineStr">
        <is>
          <t>public.setter_activity (org_id uuid not null, RLS: is_org_member — supabase/migrations/20260518160304_....sql:2-31).links_clicked, written by buildSetterActivityPayload() — src/lib/eod-reports.ts:440-479</t>
        </is>
      </c>
      <c r="G13" s="32" t="inlineStr">
        <is>
          <t>'today' at submission time (activity_date, defaults to today)</t>
        </is>
      </c>
      <c r="H13" s="27" t="inlineStr">
        <is>
          <t>LIVE</t>
        </is>
      </c>
      <c r="I13" s="33" t="inlineStr">
        <is>
          <t>SALE-0132</t>
        </is>
      </c>
    </row>
    <row r="14" ht="30" customHeight="1">
      <c r="A14" s="23" t="inlineStr">
        <is>
          <t>Sets</t>
        </is>
      </c>
      <c r="B14" s="37" t="n"/>
      <c r="C14" s="25" t="inlineStr">
        <is>
          <t>count</t>
        </is>
      </c>
      <c r="D14" s="25" t="inlineStr">
        <is>
          <t>RAW</t>
        </is>
      </c>
      <c r="E14" s="26" t="inlineStr"/>
      <c r="F14" s="26" t="inlineStr">
        <is>
          <t>public.setter_activity (org_id uuid not null, RLS: is_org_member — supabase/migrations/20260518160304_....sql:2-31).sets, written by buildSetterActivityPayload() — src/lib/eod-reports.ts:440-479</t>
        </is>
      </c>
      <c r="G14" s="26" t="inlineStr">
        <is>
          <t>'today' at submission time (activity_date, defaults to today)</t>
        </is>
      </c>
      <c r="H14" s="27" t="inlineStr">
        <is>
          <t>LIVE</t>
        </is>
      </c>
      <c r="I14" s="28" t="inlineStr">
        <is>
          <t>SALE-0133</t>
        </is>
      </c>
    </row>
    <row r="15" ht="30" customHeight="1">
      <c r="A15" s="29" t="inlineStr">
        <is>
          <t>Calls On Calendar</t>
        </is>
      </c>
      <c r="B15" s="37" t="n"/>
      <c r="C15" s="31" t="inlineStr">
        <is>
          <t>count</t>
        </is>
      </c>
      <c r="D15" s="31" t="inlineStr">
        <is>
          <t>RAW</t>
        </is>
      </c>
      <c r="E15" s="32" t="inlineStr"/>
      <c r="F15" s="32" t="inlineStr">
        <is>
          <t>public.setter_activity (org_id uuid not null, RLS: is_org_member — supabase/migrations/20260518160304_....sql:2-31).calls_on_calendar, written by buildSetterActivityPayload() — src/lib/eod-reports.ts:440-479</t>
        </is>
      </c>
      <c r="G15" s="32" t="inlineStr">
        <is>
          <t>'today' at submission time (activity_date, defaults to today)</t>
        </is>
      </c>
      <c r="H15" s="27" t="inlineStr">
        <is>
          <t>LIVE</t>
        </is>
      </c>
      <c r="I15" s="33" t="inlineStr">
        <is>
          <t>SALE-0134</t>
        </is>
      </c>
    </row>
    <row r="16" ht="30" customHeight="1">
      <c r="A16" s="23" t="inlineStr">
        <is>
          <t>Live Calls</t>
        </is>
      </c>
      <c r="B16" s="37" t="n"/>
      <c r="C16" s="25" t="inlineStr">
        <is>
          <t>count</t>
        </is>
      </c>
      <c r="D16" s="25" t="inlineStr">
        <is>
          <t>RAW</t>
        </is>
      </c>
      <c r="E16" s="26" t="inlineStr"/>
      <c r="F16" s="26" t="inlineStr">
        <is>
          <t>public.setter_activity (org_id uuid not null, RLS: is_org_member — supabase/migrations/20260518160304_....sql:2-31).live_calls, written by buildSetterActivityPayload() — src/lib/eod-reports.ts:440-479</t>
        </is>
      </c>
      <c r="G16" s="26" t="inlineStr">
        <is>
          <t>'today' at submission time (activity_date, defaults to today)</t>
        </is>
      </c>
      <c r="H16" s="27" t="inlineStr">
        <is>
          <t>LIVE</t>
        </is>
      </c>
      <c r="I16" s="28" t="inlineStr">
        <is>
          <t>SALE-0135</t>
        </is>
      </c>
    </row>
    <row r="17" ht="30" customHeight="1">
      <c r="A17" s="29" t="inlineStr">
        <is>
          <t>Closes</t>
        </is>
      </c>
      <c r="B17" s="37" t="n"/>
      <c r="C17" s="31" t="inlineStr">
        <is>
          <t>count</t>
        </is>
      </c>
      <c r="D17" s="31" t="inlineStr">
        <is>
          <t>RAW</t>
        </is>
      </c>
      <c r="E17" s="32" t="inlineStr"/>
      <c r="F17" s="32" t="inlineStr">
        <is>
          <t>public.setter_activity (org_id uuid not null, RLS: is_org_member — supabase/migrations/20260518160304_....sql:2-31).closes, written by buildSetterActivityPayload() — src/lib/eod-reports.ts:440-479</t>
        </is>
      </c>
      <c r="G17" s="32" t="inlineStr">
        <is>
          <t>'today' at submission time (activity_date, defaults to today)</t>
        </is>
      </c>
      <c r="H17" s="27" t="inlineStr">
        <is>
          <t>LIVE</t>
        </is>
      </c>
      <c r="I17" s="33" t="inlineStr">
        <is>
          <t>SALE-0136</t>
        </is>
      </c>
    </row>
    <row r="18" ht="30" customHeight="1">
      <c r="A18" s="23" t="inlineStr">
        <is>
          <t>Downsells</t>
        </is>
      </c>
      <c r="B18" s="37" t="n"/>
      <c r="C18" s="25" t="inlineStr">
        <is>
          <t>count</t>
        </is>
      </c>
      <c r="D18" s="25" t="inlineStr">
        <is>
          <t>RAW</t>
        </is>
      </c>
      <c r="E18" s="26" t="inlineStr"/>
      <c r="F18" s="26" t="inlineStr">
        <is>
          <t>public.setter_activity (org_id uuid not null, RLS: is_org_member — supabase/migrations/20260518160304_....sql:2-31).downsells, written by buildSetterActivityPayload() — src/lib/eod-reports.ts:440-479</t>
        </is>
      </c>
      <c r="G18" s="26" t="inlineStr">
        <is>
          <t>'today' at submission time (activity_date, defaults to today)</t>
        </is>
      </c>
      <c r="H18" s="27" t="inlineStr">
        <is>
          <t>LIVE</t>
        </is>
      </c>
      <c r="I18" s="28" t="inlineStr">
        <is>
          <t>SALE-0137</t>
        </is>
      </c>
    </row>
    <row r="19" ht="30" customHeight="1">
      <c r="A19" s="29" t="inlineStr">
        <is>
          <t>Cash Collected</t>
        </is>
      </c>
      <c r="B19" s="34" t="n"/>
      <c r="C19" s="31" t="inlineStr">
        <is>
          <t>$ (currency, as-entered — no FX conversion applied)</t>
        </is>
      </c>
      <c r="D19" s="31" t="inlineStr">
        <is>
          <t>RAW</t>
        </is>
      </c>
      <c r="E19" s="32" t="inlineStr">
        <is>
          <t>Math.round(Number(input)*100) → cents (eod-reports.ts:460)</t>
        </is>
      </c>
      <c r="F19" s="32" t="inlineStr">
        <is>
          <t>public.setter_activity (org_id uuid not null, RLS: is_org_member — supabase/migrations/20260518160304_....sql:2-31).cash_collected_cents (bigint), plus .original_currency (text, added 20260912090000_eod_original_currency.sql)</t>
        </is>
      </c>
      <c r="G19" s="32" t="inlineStr">
        <is>
          <t>'today' (activity_date)</t>
        </is>
      </c>
      <c r="H19" s="27" t="inlineStr">
        <is>
          <t>LIVE</t>
        </is>
      </c>
      <c r="I19" s="33" t="inlineStr">
        <is>
          <t>SALE-0138</t>
        </is>
      </c>
    </row>
    <row r="20" ht="30" customHeight="1">
      <c r="A20" s="23" t="inlineStr">
        <is>
          <t>Total Revenue</t>
        </is>
      </c>
      <c r="B20" s="34" t="n"/>
      <c r="C20" s="25" t="inlineStr">
        <is>
          <t>$ (as-entered currency)</t>
        </is>
      </c>
      <c r="D20" s="25" t="inlineStr">
        <is>
          <t>RAW</t>
        </is>
      </c>
      <c r="E20" s="26" t="inlineStr">
        <is>
          <t>Math.round(Number(input)*100)</t>
        </is>
      </c>
      <c r="F20" s="26" t="inlineStr">
        <is>
          <t>public.setter_activity (org_id uuid not null, RLS: is_org_member — supabase/migrations/20260518160304_....sql:2-31).total_revenue_cents</t>
        </is>
      </c>
      <c r="G20" s="26" t="inlineStr">
        <is>
          <t>'today'</t>
        </is>
      </c>
      <c r="H20" s="27" t="inlineStr">
        <is>
          <t>LIVE</t>
        </is>
      </c>
      <c r="I20" s="28" t="inlineStr">
        <is>
          <t>SALE-0139</t>
        </is>
      </c>
    </row>
    <row r="21" ht="30" customHeight="1">
      <c r="A21" s="29" t="inlineStr">
        <is>
          <t>Rate Today</t>
        </is>
      </c>
      <c r="B21" s="37" t="n"/>
      <c r="C21" s="31" t="inlineStr">
        <is>
          <t>count (1-10 scale, not %)</t>
        </is>
      </c>
      <c r="D21" s="31" t="inlineStr">
        <is>
          <t>RAW</t>
        </is>
      </c>
      <c r="E21" s="32" t="inlineStr">
        <is>
          <t>None — a self-reported 1-10 scale rating the rep types in, NOT a computed ratio</t>
        </is>
      </c>
      <c r="F21" s="32" t="inlineStr">
        <is>
          <t>public.setter_activity (org_id uuid not null, RLS: is_org_member — supabase/migrations/20260518160304_....sql:2-31).rate_today (int, CHECK 1..10 — migration 20260518160304...sql:20)</t>
        </is>
      </c>
      <c r="G21" s="32" t="inlineStr">
        <is>
          <t>'today'</t>
        </is>
      </c>
      <c r="H21" s="27" t="inlineStr">
        <is>
          <t>LIVE</t>
        </is>
      </c>
      <c r="I21" s="33" t="inlineStr">
        <is>
          <t>SALE-0140</t>
        </is>
      </c>
    </row>
    <row r="22" ht="30" customHeight="1">
      <c r="A22" s="23" t="inlineStr">
        <is>
          <t>Objections</t>
        </is>
      </c>
      <c r="B22" s="37" t="n"/>
      <c r="C22" s="25" t="inlineStr">
        <is>
          <t>text</t>
        </is>
      </c>
      <c r="D22" s="25" t="inlineStr">
        <is>
          <t>RAW</t>
        </is>
      </c>
      <c r="E22" s="26" t="inlineStr"/>
      <c r="F22" s="26" t="inlineStr">
        <is>
          <t>public.setter_activity (org_id uuid not null, RLS: is_org_member — supabase/migrations/20260518160304_....sql:2-31).objections (text, freeform)</t>
        </is>
      </c>
      <c r="G22" s="26" t="inlineStr">
        <is>
          <t>'today'</t>
        </is>
      </c>
      <c r="H22" s="27" t="inlineStr">
        <is>
          <t>LIVE</t>
        </is>
      </c>
      <c r="I22" s="28" t="inlineStr">
        <is>
          <t>SALE-0141</t>
        </is>
      </c>
    </row>
    <row r="23" ht="6" customHeight="1"/>
    <row r="24" ht="20" customHeight="1">
      <c r="A24" s="22" t="inlineStr">
        <is>
          <t>DIALER EOD FIELDS</t>
        </is>
      </c>
    </row>
    <row r="25" ht="30" customHeight="1">
      <c r="A25" s="29" t="inlineStr">
        <is>
          <t>Dials</t>
        </is>
      </c>
      <c r="B25" s="37" t="n"/>
      <c r="C25" s="31" t="inlineStr">
        <is>
          <t>count</t>
        </is>
      </c>
      <c r="D25" s="31" t="inlineStr">
        <is>
          <t>RAW</t>
        </is>
      </c>
      <c r="E25" s="32" t="inlineStr"/>
      <c r="F25" s="32" t="inlineStr">
        <is>
          <t>public.setter_activity (org_id uuid not null, RLS: is_org_member — supabase/migrations/20260518160304_....sql:2-31).dials, written by buildSetterActivityPayload(role='inbound_dialer') — eod-reports.ts:440-479</t>
        </is>
      </c>
      <c r="G25" s="32" t="inlineStr">
        <is>
          <t>'today' (activity_date)</t>
        </is>
      </c>
      <c r="H25" s="27" t="inlineStr">
        <is>
          <t>LIVE</t>
        </is>
      </c>
      <c r="I25" s="33" t="inlineStr">
        <is>
          <t>SALE-0142</t>
        </is>
      </c>
    </row>
    <row r="26" ht="30" customHeight="1">
      <c r="A26" s="23" t="inlineStr">
        <is>
          <t>Connections</t>
        </is>
      </c>
      <c r="B26" s="37" t="n"/>
      <c r="C26" s="25" t="inlineStr">
        <is>
          <t>count</t>
        </is>
      </c>
      <c r="D26" s="25" t="inlineStr">
        <is>
          <t>RAW</t>
        </is>
      </c>
      <c r="E26" s="26" t="inlineStr"/>
      <c r="F26" s="26" t="inlineStr">
        <is>
          <t>public.setter_activity (org_id uuid not null, RLS: is_org_member — supabase/migrations/20260518160304_....sql:2-31).connections, written by buildSetterActivityPayload(role='inbound_dialer') — eod-reports.ts:440-479</t>
        </is>
      </c>
      <c r="G26" s="26" t="inlineStr">
        <is>
          <t>'today' (activity_date)</t>
        </is>
      </c>
      <c r="H26" s="27" t="inlineStr">
        <is>
          <t>LIVE</t>
        </is>
      </c>
      <c r="I26" s="28" t="inlineStr">
        <is>
          <t>SALE-0143</t>
        </is>
      </c>
    </row>
    <row r="27" ht="30" customHeight="1">
      <c r="A27" s="29" t="inlineStr">
        <is>
          <t>Qualified Convos</t>
        </is>
      </c>
      <c r="B27" s="37" t="n"/>
      <c r="C27" s="31" t="inlineStr">
        <is>
          <t>count</t>
        </is>
      </c>
      <c r="D27" s="31" t="inlineStr">
        <is>
          <t>RAW</t>
        </is>
      </c>
      <c r="E27" s="32" t="inlineStr"/>
      <c r="F27" s="32" t="inlineStr">
        <is>
          <t>public.setter_activity (org_id uuid not null, RLS: is_org_member — supabase/migrations/20260518160304_....sql:2-31).qualified_convos, written by buildSetterActivityPayload(role='inbound_dialer') — eod-reports.ts:440-479</t>
        </is>
      </c>
      <c r="G27" s="32" t="inlineStr">
        <is>
          <t>'today' (activity_date)</t>
        </is>
      </c>
      <c r="H27" s="27" t="inlineStr">
        <is>
          <t>LIVE</t>
        </is>
      </c>
      <c r="I27" s="33" t="inlineStr">
        <is>
          <t>SALE-0144</t>
        </is>
      </c>
    </row>
    <row r="28" ht="30" customHeight="1">
      <c r="A28" s="23" t="inlineStr">
        <is>
          <t>Sets</t>
        </is>
      </c>
      <c r="B28" s="37" t="n"/>
      <c r="C28" s="25" t="inlineStr">
        <is>
          <t>count</t>
        </is>
      </c>
      <c r="D28" s="25" t="inlineStr">
        <is>
          <t>RAW</t>
        </is>
      </c>
      <c r="E28" s="26" t="inlineStr"/>
      <c r="F28" s="26" t="inlineStr">
        <is>
          <t>public.setter_activity (org_id uuid not null, RLS: is_org_member — supabase/migrations/20260518160304_....sql:2-31).sets, written by buildSetterActivityPayload(role='inbound_dialer') — eod-reports.ts:440-479</t>
        </is>
      </c>
      <c r="G28" s="26" t="inlineStr">
        <is>
          <t>'today' (activity_date)</t>
        </is>
      </c>
      <c r="H28" s="27" t="inlineStr">
        <is>
          <t>LIVE</t>
        </is>
      </c>
      <c r="I28" s="28" t="inlineStr">
        <is>
          <t>SALE-0145</t>
        </is>
      </c>
    </row>
    <row r="29" ht="30" customHeight="1">
      <c r="A29" s="29" t="inlineStr">
        <is>
          <t>Calls On Calendar</t>
        </is>
      </c>
      <c r="B29" s="37" t="n"/>
      <c r="C29" s="31" t="inlineStr">
        <is>
          <t>count</t>
        </is>
      </c>
      <c r="D29" s="31" t="inlineStr">
        <is>
          <t>RAW</t>
        </is>
      </c>
      <c r="E29" s="32" t="inlineStr"/>
      <c r="F29" s="32" t="inlineStr">
        <is>
          <t>public.setter_activity (org_id uuid not null, RLS: is_org_member — supabase/migrations/20260518160304_....sql:2-31).calls_on_calendar, written by buildSetterActivityPayload(role='inbound_dialer') — eod-reports.ts:440-479</t>
        </is>
      </c>
      <c r="G29" s="32" t="inlineStr">
        <is>
          <t>'today' (activity_date)</t>
        </is>
      </c>
      <c r="H29" s="27" t="inlineStr">
        <is>
          <t>LIVE</t>
        </is>
      </c>
      <c r="I29" s="33" t="inlineStr">
        <is>
          <t>SALE-0146</t>
        </is>
      </c>
    </row>
    <row r="30" ht="30" customHeight="1">
      <c r="A30" s="23" t="inlineStr">
        <is>
          <t>Live Calls</t>
        </is>
      </c>
      <c r="B30" s="37" t="n"/>
      <c r="C30" s="25" t="inlineStr">
        <is>
          <t>count</t>
        </is>
      </c>
      <c r="D30" s="25" t="inlineStr">
        <is>
          <t>RAW</t>
        </is>
      </c>
      <c r="E30" s="26" t="inlineStr"/>
      <c r="F30" s="26" t="inlineStr">
        <is>
          <t>public.setter_activity (org_id uuid not null, RLS: is_org_member — supabase/migrations/20260518160304_....sql:2-31).live_calls, written by buildSetterActivityPayload(role='inbound_dialer') — eod-reports.ts:440-479</t>
        </is>
      </c>
      <c r="G30" s="26" t="inlineStr">
        <is>
          <t>'today' (activity_date)</t>
        </is>
      </c>
      <c r="H30" s="27" t="inlineStr">
        <is>
          <t>LIVE</t>
        </is>
      </c>
      <c r="I30" s="28" t="inlineStr">
        <is>
          <t>SALE-0147</t>
        </is>
      </c>
    </row>
    <row r="31" ht="30" customHeight="1">
      <c r="A31" s="29" t="inlineStr">
        <is>
          <t>Closes</t>
        </is>
      </c>
      <c r="B31" s="37" t="n"/>
      <c r="C31" s="31" t="inlineStr">
        <is>
          <t>count</t>
        </is>
      </c>
      <c r="D31" s="31" t="inlineStr">
        <is>
          <t>RAW</t>
        </is>
      </c>
      <c r="E31" s="32" t="inlineStr"/>
      <c r="F31" s="32" t="inlineStr">
        <is>
          <t>public.setter_activity (org_id uuid not null, RLS: is_org_member — supabase/migrations/20260518160304_....sql:2-31).closes, written by buildSetterActivityPayload(role='inbound_dialer') — eod-reports.ts:440-479</t>
        </is>
      </c>
      <c r="G31" s="32" t="inlineStr">
        <is>
          <t>'today' (activity_date)</t>
        </is>
      </c>
      <c r="H31" s="27" t="inlineStr">
        <is>
          <t>LIVE</t>
        </is>
      </c>
      <c r="I31" s="33" t="inlineStr">
        <is>
          <t>SALE-0148</t>
        </is>
      </c>
    </row>
    <row r="32" ht="30" customHeight="1">
      <c r="A32" s="23" t="inlineStr">
        <is>
          <t>Downsells</t>
        </is>
      </c>
      <c r="B32" s="37" t="n"/>
      <c r="C32" s="25" t="inlineStr">
        <is>
          <t>count</t>
        </is>
      </c>
      <c r="D32" s="25" t="inlineStr">
        <is>
          <t>RAW</t>
        </is>
      </c>
      <c r="E32" s="26" t="inlineStr"/>
      <c r="F32" s="26" t="inlineStr">
        <is>
          <t>public.setter_activity (org_id uuid not null, RLS: is_org_member — supabase/migrations/20260518160304_....sql:2-31).downsells, written by buildSetterActivityPayload(role='inbound_dialer') — eod-reports.ts:440-479</t>
        </is>
      </c>
      <c r="G32" s="26" t="inlineStr">
        <is>
          <t>'today' (activity_date)</t>
        </is>
      </c>
      <c r="H32" s="27" t="inlineStr">
        <is>
          <t>LIVE</t>
        </is>
      </c>
      <c r="I32" s="28" t="inlineStr">
        <is>
          <t>SALE-0149</t>
        </is>
      </c>
    </row>
    <row r="33" ht="30" customHeight="1">
      <c r="A33" s="29" t="inlineStr">
        <is>
          <t>Cash Collected</t>
        </is>
      </c>
      <c r="B33" s="34" t="n"/>
      <c r="C33" s="31" t="inlineStr">
        <is>
          <t>$ (as-entered currency)</t>
        </is>
      </c>
      <c r="D33" s="31" t="inlineStr">
        <is>
          <t>RAW</t>
        </is>
      </c>
      <c r="E33" s="32" t="inlineStr">
        <is>
          <t>Math.round(Number(input)*100)</t>
        </is>
      </c>
      <c r="F33" s="32" t="inlineStr">
        <is>
          <t>public.setter_activity (org_id uuid not null, RLS: is_org_member — supabase/migrations/20260518160304_....sql:2-31).cash_collected_cents + original_currency</t>
        </is>
      </c>
      <c r="G33" s="32" t="inlineStr">
        <is>
          <t>'today'</t>
        </is>
      </c>
      <c r="H33" s="27" t="inlineStr">
        <is>
          <t>LIVE</t>
        </is>
      </c>
      <c r="I33" s="33" t="inlineStr">
        <is>
          <t>SALE-0150</t>
        </is>
      </c>
    </row>
    <row r="34" ht="30" customHeight="1">
      <c r="A34" s="23" t="inlineStr">
        <is>
          <t>Total Revenue</t>
        </is>
      </c>
      <c r="B34" s="34" t="n"/>
      <c r="C34" s="25" t="inlineStr">
        <is>
          <t>$ (as-entered currency)</t>
        </is>
      </c>
      <c r="D34" s="25" t="inlineStr">
        <is>
          <t>RAW</t>
        </is>
      </c>
      <c r="E34" s="26" t="inlineStr">
        <is>
          <t>Math.round(Number(input)*100)</t>
        </is>
      </c>
      <c r="F34" s="26" t="inlineStr">
        <is>
          <t>public.setter_activity (org_id uuid not null, RLS: is_org_member — supabase/migrations/20260518160304_....sql:2-31).total_revenue_cents</t>
        </is>
      </c>
      <c r="G34" s="26" t="inlineStr">
        <is>
          <t>'today'</t>
        </is>
      </c>
      <c r="H34" s="27" t="inlineStr">
        <is>
          <t>LIVE</t>
        </is>
      </c>
      <c r="I34" s="28" t="inlineStr">
        <is>
          <t>SALE-0151</t>
        </is>
      </c>
    </row>
    <row r="35" ht="30" customHeight="1">
      <c r="A35" s="29" t="inlineStr">
        <is>
          <t>Rate Today</t>
        </is>
      </c>
      <c r="B35" s="37" t="n"/>
      <c r="C35" s="31" t="inlineStr">
        <is>
          <t>count (1-10 scale, not %)</t>
        </is>
      </c>
      <c r="D35" s="31" t="inlineStr">
        <is>
          <t>RAW</t>
        </is>
      </c>
      <c r="E35" s="32" t="inlineStr">
        <is>
          <t>self-reported scale, no formula</t>
        </is>
      </c>
      <c r="F35" s="32" t="inlineStr">
        <is>
          <t>public.setter_activity (org_id uuid not null, RLS: is_org_member — supabase/migrations/20260518160304_....sql:2-31).rate_today (CHECK 1..10)</t>
        </is>
      </c>
      <c r="G35" s="32" t="inlineStr">
        <is>
          <t>'today'</t>
        </is>
      </c>
      <c r="H35" s="27" t="inlineStr">
        <is>
          <t>LIVE</t>
        </is>
      </c>
      <c r="I35" s="33" t="inlineStr">
        <is>
          <t>SALE-0152</t>
        </is>
      </c>
    </row>
    <row r="36" ht="30" customHeight="1">
      <c r="A36" s="23" t="inlineStr">
        <is>
          <t>Objections</t>
        </is>
      </c>
      <c r="B36" s="37" t="n"/>
      <c r="C36" s="25" t="inlineStr">
        <is>
          <t>text</t>
        </is>
      </c>
      <c r="D36" s="25" t="inlineStr">
        <is>
          <t>RAW</t>
        </is>
      </c>
      <c r="E36" s="26" t="inlineStr"/>
      <c r="F36" s="26" t="inlineStr">
        <is>
          <t>public.setter_activity (org_id uuid not null, RLS: is_org_member — supabase/migrations/20260518160304_....sql:2-31).objections (text)</t>
        </is>
      </c>
      <c r="G36" s="26" t="inlineStr">
        <is>
          <t>'today'</t>
        </is>
      </c>
      <c r="H36" s="27" t="inlineStr">
        <is>
          <t>LIVE</t>
        </is>
      </c>
      <c r="I36" s="28" t="inlineStr">
        <is>
          <t>SALE-0153</t>
        </is>
      </c>
    </row>
    <row r="37" ht="6" customHeight="1"/>
    <row r="38" ht="20" customHeight="1">
      <c r="A38" s="22" t="inlineStr">
        <is>
          <t>CLOSER POST-CALL FIELDS</t>
        </is>
      </c>
    </row>
    <row r="39" ht="30" customHeight="1">
      <c r="A39" s="29" t="inlineStr">
        <is>
          <t>Lead Status</t>
        </is>
      </c>
      <c r="B39" s="37" t="n"/>
      <c r="C39" s="31" t="inlineStr">
        <is>
          <t>enum (11 choices)</t>
        </is>
      </c>
      <c r="D39" s="31" t="inlineStr">
        <is>
          <t>RAW</t>
        </is>
      </c>
      <c r="E39" s="32" t="inlineStr">
        <is>
          <t>buildClosureCallPayload() maps the 11-choice select onto status/closed/disposition/showed while eod_lead_status preserves the raw choice verbatim; 'IGNORE' → null, no row written at all (eod-reports.ts:530-579)</t>
        </is>
      </c>
      <c r="F39" s="32" t="inlineStr">
        <is>
          <t>public.calls (org_id uuid, RLS org-scoped).eod_lead_status (raw submitted text, migration 20260906090000_eod_native_forms.sql) — also mapped into calls.status/closed/disposition/showed via LEAD_STATUS_MAP (eod-reports.ts:503-527)</t>
        </is>
      </c>
      <c r="G39" s="32" t="inlineStr">
        <is>
          <t>point-in-time (one call log)</t>
        </is>
      </c>
      <c r="H39" s="27" t="inlineStr">
        <is>
          <t>LIVE</t>
        </is>
      </c>
      <c r="I39" s="33" t="inlineStr">
        <is>
          <t>SALE-0154</t>
        </is>
      </c>
    </row>
    <row r="40" ht="30" customHeight="1">
      <c r="A40" s="23" t="inlineStr">
        <is>
          <t>Cash Collected</t>
        </is>
      </c>
      <c r="B40" s="34" t="n"/>
      <c r="C40" s="25" t="inlineStr">
        <is>
          <t>$ (as-entered currency)</t>
        </is>
      </c>
      <c r="D40" s="25" t="inlineStr">
        <is>
          <t>RAW</t>
        </is>
      </c>
      <c r="E40" s="26" t="inlineStr">
        <is>
          <t>Math.round(NUM(values.cash_collected)*100); deposit_cents = same value when status='Deposit' (eod-reports.ts:534,550-552)</t>
        </is>
      </c>
      <c r="F40" s="26" t="inlineStr">
        <is>
          <t>public.calls (org_id uuid, RLS org-scoped).cash_collected_cents + original_currency (+ deposit_cents mirror when Lead Status='Deposit')</t>
        </is>
      </c>
      <c r="G40" s="26" t="inlineStr">
        <is>
          <t>point-in-time</t>
        </is>
      </c>
      <c r="H40" s="27" t="inlineStr">
        <is>
          <t>LIVE</t>
        </is>
      </c>
      <c r="I40" s="28" t="inlineStr">
        <is>
          <t>SALE-0155</t>
        </is>
      </c>
    </row>
    <row r="41" ht="30" customHeight="1">
      <c r="A41" s="29" t="inlineStr">
        <is>
          <t>Total Revenue</t>
        </is>
      </c>
      <c r="B41" s="34" t="n"/>
      <c r="C41" s="31" t="inlineStr">
        <is>
          <t>$ (as-entered currency)</t>
        </is>
      </c>
      <c r="D41" s="31" t="inlineStr">
        <is>
          <t>RAW</t>
        </is>
      </c>
      <c r="E41" s="32" t="inlineStr">
        <is>
          <t>Math.round(NUM(values.total_revenue)*100) — eod-reports.ts:551</t>
        </is>
      </c>
      <c r="F41" s="32" t="inlineStr">
        <is>
          <t>public.calls (org_id uuid, RLS org-scoped).contract_value_cents</t>
        </is>
      </c>
      <c r="G41" s="32" t="inlineStr">
        <is>
          <t>point-in-time</t>
        </is>
      </c>
      <c r="H41" s="27" t="inlineStr">
        <is>
          <t>LIVE</t>
        </is>
      </c>
      <c r="I41" s="33" t="inlineStr">
        <is>
          <t>SALE-0156</t>
        </is>
      </c>
    </row>
    <row r="42" ht="30" customHeight="1">
      <c r="A42" s="23" t="inlineStr">
        <is>
          <t>Offer</t>
        </is>
      </c>
      <c r="B42" s="37" t="n"/>
      <c r="C42" s="25" t="inlineStr">
        <is>
          <t>boolean</t>
        </is>
      </c>
      <c r="D42" s="25" t="inlineStr">
        <is>
          <t>RAW</t>
        </is>
      </c>
      <c r="E42" s="26" t="inlineStr">
        <is>
          <t>values.offer_made===true — eod-reports.ts:545</t>
        </is>
      </c>
      <c r="F42" s="26" t="inlineStr">
        <is>
          <t>public.calls (org_id uuid, RLS org-scoped).offer_made (boolean)</t>
        </is>
      </c>
      <c r="G42" s="26" t="inlineStr">
        <is>
          <t>point-in-time</t>
        </is>
      </c>
      <c r="H42" s="27" t="inlineStr">
        <is>
          <t>LIVE</t>
        </is>
      </c>
      <c r="I42" s="28" t="inlineStr">
        <is>
          <t>SALE-0157</t>
        </is>
      </c>
    </row>
    <row r="43" ht="30" customHeight="1">
      <c r="A43" s="29" t="inlineStr">
        <is>
          <t>Call Summary</t>
        </is>
      </c>
      <c r="B43" s="37" t="n"/>
      <c r="C43" s="31" t="inlineStr">
        <is>
          <t>text</t>
        </is>
      </c>
      <c r="D43" s="31" t="inlineStr">
        <is>
          <t>RAW</t>
        </is>
      </c>
      <c r="E43" s="32" t="inlineStr">
        <is>
          <t>STR(values.summary) — eod-reports.ts:556</t>
        </is>
      </c>
      <c r="F43" s="32" t="inlineStr">
        <is>
          <t>public.calls (org_id uuid, RLS org-scoped).call_summary (text)</t>
        </is>
      </c>
      <c r="G43" s="32" t="inlineStr">
        <is>
          <t>point-in-time</t>
        </is>
      </c>
      <c r="H43" s="27" t="inlineStr">
        <is>
          <t>LIVE</t>
        </is>
      </c>
      <c r="I43" s="33" t="inlineStr">
        <is>
          <t>SALE-0158</t>
        </is>
      </c>
    </row>
    <row r="44" ht="6" customHeight="1"/>
  </sheetData>
  <autoFilter ref="A4:I43"/>
  <mergeCells count="3">
    <mergeCell ref="A5:I5"/>
    <mergeCell ref="A38:I38"/>
    <mergeCell ref="A24:I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Team</t>
        </is>
      </c>
    </row>
    <row r="2">
      <c r="A2" s="21" t="inlineStr">
        <is>
          <t>23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TEAM SNAPSHOT</t>
        </is>
      </c>
    </row>
    <row r="6" ht="30" customHeight="1">
      <c r="A6" s="23" t="inlineStr">
        <is>
          <t>Team Members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members.length (memberships.length for this org)</t>
        </is>
      </c>
      <c r="F6" s="26" t="inlineStr">
        <is>
          <t>public.memberships joined to profiles — src/routes/_authenticated.team.tsx:220-249</t>
        </is>
      </c>
      <c r="G6" s="26" t="inlineStr">
        <is>
          <t>none/point-in-time (current roster, not range-filtered)</t>
        </is>
      </c>
      <c r="H6" s="27" t="inlineStr">
        <is>
          <t>LIVE</t>
        </is>
      </c>
      <c r="I6" s="28" t="inlineStr">
        <is>
          <t>SALE-0159</t>
        </is>
      </c>
    </row>
    <row r="7" ht="30" customHeight="1">
      <c r="A7" s="29" t="inlineStr">
        <is>
          <t>Setters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setterCount = teamMembersAll.filter(m =&gt; m.role==='dm_setter' &amp;&amp; m.active).length</t>
        </is>
      </c>
      <c r="F7" s="32" t="inlineStr">
        <is>
          <t>public.team_members — team.tsx:256-278,494-496</t>
        </is>
      </c>
      <c r="G7" s="32" t="inlineStr">
        <is>
          <t>point-in-time (active flag, not range-filtered)</t>
        </is>
      </c>
      <c r="H7" s="27" t="inlineStr">
        <is>
          <t>LIVE</t>
        </is>
      </c>
      <c r="I7" s="33" t="inlineStr">
        <is>
          <t>SALE-0160</t>
        </is>
      </c>
    </row>
    <row r="8" ht="30" customHeight="1">
      <c r="A8" s="23" t="inlineStr">
        <is>
          <t>Dialers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dialerCount = teamMembersAll.filter(m=&gt;m.role==='inbound_dialer' &amp;&amp; m.active).length — team.tsx:497-499</t>
        </is>
      </c>
      <c r="F8" s="26" t="inlineStr">
        <is>
          <t>public.team_members</t>
        </is>
      </c>
      <c r="G8" s="26" t="inlineStr">
        <is>
          <t>point-in-time</t>
        </is>
      </c>
      <c r="H8" s="27" t="inlineStr">
        <is>
          <t>LIVE</t>
        </is>
      </c>
      <c r="I8" s="28" t="inlineStr">
        <is>
          <t>SALE-0161</t>
        </is>
      </c>
    </row>
    <row r="9" ht="30" customHeight="1">
      <c r="A9" s="29" t="inlineStr">
        <is>
          <t>Closers</t>
        </is>
      </c>
      <c r="B9" s="37" t="n"/>
      <c r="C9" s="31" t="inlineStr">
        <is>
          <t>count</t>
        </is>
      </c>
      <c r="D9" s="31" t="inlineStr">
        <is>
          <t>AGGREGATED</t>
        </is>
      </c>
      <c r="E9" s="32" t="inlineStr">
        <is>
          <t>closerCount = teamMembersAll.filter(m=&gt;m.role==='closer' &amp;&amp; m.active).length — team.tsx:500</t>
        </is>
      </c>
      <c r="F9" s="32" t="inlineStr">
        <is>
          <t>public.team_members</t>
        </is>
      </c>
      <c r="G9" s="32" t="inlineStr">
        <is>
          <t>point-in-time</t>
        </is>
      </c>
      <c r="H9" s="27" t="inlineStr">
        <is>
          <t>LIVE</t>
        </is>
      </c>
      <c r="I9" s="33" t="inlineStr">
        <is>
          <t>SALE-0162</t>
        </is>
      </c>
    </row>
    <row r="10" ht="30" customHeight="1">
      <c r="A10" s="23" t="inlineStr">
        <is>
          <t>Booked (30D)</t>
        </is>
      </c>
      <c r="B10" s="37" t="n"/>
      <c r="C10" s="25" t="inlineStr">
        <is>
          <t>count</t>
        </is>
      </c>
      <c r="D10" s="25" t="inlineStr">
        <is>
          <t>DERIVED</t>
        </is>
      </c>
      <c r="E10" s="26" t="inlineStr">
        <is>
          <t>booked = Math.max(calls.length in window, sum(setter_activity.calls_on_calendar) in window) — team.tsx:419,424</t>
        </is>
      </c>
      <c r="F10" s="26" t="inlineStr">
        <is>
          <t>public.calls + public.setter_activity — team.tsx:398-431 (team30d query, fetchWindow())</t>
        </is>
      </c>
      <c r="G10" s="26" t="inlineStr">
        <is>
          <t>fixed trailing 30 days (d30, independent of the page's DateRangeProvider — team.tsx:369-378)</t>
        </is>
      </c>
      <c r="H10" s="27" t="inlineStr">
        <is>
          <t>LIVE</t>
        </is>
      </c>
      <c r="I10" s="28" t="inlineStr">
        <is>
          <t>SALE-0163</t>
        </is>
      </c>
    </row>
    <row r="11" ht="30" customHeight="1">
      <c r="A11" s="29" t="inlineStr">
        <is>
          <t>Show Rate</t>
        </is>
      </c>
      <c r="B11" s="39" t="n"/>
      <c r="C11" s="31" t="inlineStr">
        <is>
          <t>%</t>
        </is>
      </c>
      <c r="D11" s="31" t="inlineStr">
        <is>
          <t>DERIVED</t>
        </is>
      </c>
      <c r="E11" s="32" t="inlineStr">
        <is>
          <t>showRate = t.showed/t.booked*100 where t.showed = Math.max(calls.filter(c=&gt;c.showed).length, sum(setter_activity.live_calls)) — team.tsx:420,425,504</t>
        </is>
      </c>
      <c r="F11" s="32" t="inlineStr">
        <is>
          <t>same team30d dataset</t>
        </is>
      </c>
      <c r="G11" s="32" t="inlineStr">
        <is>
          <t>fixed trailing 30 days</t>
        </is>
      </c>
      <c r="H11" s="27" t="inlineStr">
        <is>
          <t>LIVE</t>
        </is>
      </c>
      <c r="I11" s="33" t="inlineStr">
        <is>
          <t>SALE-0164</t>
        </is>
      </c>
    </row>
    <row r="12" ht="30" customHeight="1">
      <c r="A12" s="23" t="inlineStr">
        <is>
          <t>Cash Collected (30D)</t>
        </is>
      </c>
      <c r="B12" s="34" t="n"/>
      <c r="C12" s="25" t="inlineStr">
        <is>
          <t>$</t>
        </is>
      </c>
      <c r="D12" s="25" t="inlineStr">
        <is>
          <t>AGGREGATED</t>
        </is>
      </c>
      <c r="E12" s="26" t="inlineStr">
        <is>
          <t>cash = Math.max(sum(calls.cash_collected_cents), sum(setter_activity.cash_collected_cents)) — team.tsx:421-422,427</t>
        </is>
      </c>
      <c r="F12" s="26" t="inlineStr">
        <is>
          <t>same team30d dataset</t>
        </is>
      </c>
      <c r="G12" s="26" t="inlineStr">
        <is>
          <t>fixed trailing 30 days</t>
        </is>
      </c>
      <c r="H12" s="27" t="inlineStr">
        <is>
          <t>LIVE</t>
        </is>
      </c>
      <c r="I12" s="28" t="inlineStr">
        <is>
          <t>SALE-0165</t>
        </is>
      </c>
    </row>
    <row r="13" ht="6" customHeight="1"/>
    <row r="14" ht="20" customHeight="1">
      <c r="A14" s="22" t="inlineStr">
        <is>
          <t>PERFORMANCE — LEADERBOARDS</t>
        </is>
      </c>
    </row>
    <row r="15" ht="30" customHeight="1">
      <c r="A15" s="29" t="inlineStr">
        <is>
          <t>Closes</t>
        </is>
      </c>
      <c r="B15" s="37" t="n"/>
      <c r="C15" s="31" t="inlineStr">
        <is>
          <t>count</t>
        </is>
      </c>
      <c r="D15" s="31" t="inlineStr">
        <is>
          <t>AGGREGATED</t>
        </is>
      </c>
      <c r="E15" s="32" t="inlineStr">
        <is>
          <t>closerMap[name].closes += calls.filter(closed).length per closer_name; setterMap[name].closes += setter_activity.closes per rep</t>
        </is>
      </c>
      <c r="F15" s="32" t="inlineStr">
        <is>
          <t>RepLeaderboard fed by team30d.closers (calls grouped by closer_name) / team30d.setters (setter_activity grouped by team_member_name) — team.tsx:437-465,613-636</t>
        </is>
      </c>
      <c r="G15" s="32" t="inlineStr">
        <is>
          <t>fixed trailing 30 days by default, overridable via lbOverride date picker on the leaderboard itself (team.tsx:491-492,620-623)</t>
        </is>
      </c>
      <c r="H15" s="27" t="inlineStr">
        <is>
          <t>LIVE</t>
        </is>
      </c>
      <c r="I15" s="33" t="inlineStr">
        <is>
          <t>SALE-0166</t>
        </is>
      </c>
    </row>
    <row r="16" ht="30" customHeight="1">
      <c r="A16" s="23" t="inlineStr">
        <is>
          <t>Cash Collected</t>
        </is>
      </c>
      <c r="B16" s="34" t="n"/>
      <c r="C16" s="25" t="inlineStr">
        <is>
          <t>$</t>
        </is>
      </c>
      <c r="D16" s="25" t="inlineStr">
        <is>
          <t>AGGREGATED</t>
        </is>
      </c>
      <c r="E16" s="26" t="inlineStr">
        <is>
          <t>closerMap[name].cash += calls.cash_collected_cents; setterMap[name].cash += setter_activity.cash_collected_cents — team.tsx:443,455</t>
        </is>
      </c>
      <c r="F16" s="26" t="inlineStr">
        <is>
          <t>same team30d.closers/setters</t>
        </is>
      </c>
      <c r="G16" s="26" t="inlineStr">
        <is>
          <t>same as SALE-0166</t>
        </is>
      </c>
      <c r="H16" s="27" t="inlineStr">
        <is>
          <t>LIVE</t>
        </is>
      </c>
      <c r="I16" s="28" t="inlineStr">
        <is>
          <t>SALE-0167</t>
        </is>
      </c>
    </row>
    <row r="17" ht="30" customHeight="1">
      <c r="A17" s="29" t="inlineStr">
        <is>
          <t>Sets</t>
        </is>
      </c>
      <c r="B17" s="37" t="n"/>
      <c r="C17" s="31" t="inlineStr">
        <is>
          <t>count</t>
        </is>
      </c>
      <c r="D17" s="31" t="inlineStr">
        <is>
          <t>AGGREGATED</t>
        </is>
      </c>
      <c r="E17" s="32" t="inlineStr">
        <is>
          <t>setterMap[name].sets += setter_activity.sets — team.tsx:454</t>
        </is>
      </c>
      <c r="F17" s="32" t="inlineStr">
        <is>
          <t>team30d.setters only (closer leaderboard uses 'calls' as its volume metric instead, per TEAM_CLOSER_METRICS)</t>
        </is>
      </c>
      <c r="G17" s="32" t="inlineStr">
        <is>
          <t>same as SALE-0166</t>
        </is>
      </c>
      <c r="H17" s="27" t="inlineStr">
        <is>
          <t>LIVE</t>
        </is>
      </c>
      <c r="I17" s="33" t="inlineStr">
        <is>
          <t>SALE-0168</t>
        </is>
      </c>
    </row>
    <row r="18" ht="6" customHeight="1"/>
    <row r="19" ht="20" customHeight="1">
      <c r="A19" s="22" t="inlineStr">
        <is>
          <t>PERFORMANCE — TARGETS</t>
        </is>
      </c>
    </row>
    <row r="20" ht="30" customHeight="1">
      <c r="A20" s="23" t="inlineStr">
        <is>
          <t>Rep KPI targets (Actual)</t>
        </is>
      </c>
      <c r="B20" s="37" t="n"/>
      <c r="C20" s="25" t="inlineStr">
        <is>
          <t>count / $ / % (per metric's KpiFormat)</t>
        </is>
      </c>
      <c r="D20" s="25" t="inlineStr">
        <is>
          <t>AGGREGATED</t>
        </is>
      </c>
      <c r="E20" s="26" t="inlineStr">
        <is>
          <t>actualFromSetterActivity(): sum of the mapped setter_activity column for that rep within the target's own period window (SETTER_ACTIVITY_COLUMN map, rep-kpi-actuals.ts:50-82). actualFromCalls(): count/sum/ratio per metric_key (shows/offers/closes/close_rate_pct=closes÷shows/cash_collected_cents/c...</t>
        </is>
      </c>
      <c r="F20" s="26" t="inlineStr">
        <is>
          <t>src/lib/kpi-targets.ts (computeTargetProgress) + src/lib/rep-kpi-actuals.ts (actualFromSetterActivity/actualFromCalls) + src/lib/rep-kpi-targets.ts (fetchRepKpiTargets); underlying rows: setter_activity (targetSetterActivityRows, team.tsx:303-319) and calls (targetCallRows, team.tsx:321-337)</t>
        </is>
      </c>
      <c r="G20" s="26" t="inlineStr">
        <is>
          <t>the target's own calendar period (daily/weekly/monthly), computed via periodWindow() — independent of the page's DateRangeProvider (kpi-targets.ts:161-212)</t>
        </is>
      </c>
      <c r="H20" s="27" t="inlineStr">
        <is>
          <t>LIVE</t>
        </is>
      </c>
      <c r="I20" s="28" t="inlineStr">
        <is>
          <t>SALE-0169</t>
        </is>
      </c>
    </row>
    <row r="21" ht="30" customHeight="1">
      <c r="A21" s="29" t="inlineStr">
        <is>
          <t>Target</t>
        </is>
      </c>
      <c r="B21" s="37" t="n"/>
      <c r="C21" s="31" t="inlineStr">
        <is>
          <t>count / $ / % (per metric's KpiFormat)</t>
        </is>
      </c>
      <c r="D21" s="31" t="inlineStr">
        <is>
          <t>RAW</t>
        </is>
      </c>
      <c r="E21" s="32" t="inlineStr">
        <is>
          <t>resolveActiveTarget(): latest version with effective_from &lt;= today and is_active=true (kpi-targets.ts:74-86)</t>
        </is>
      </c>
      <c r="F21" s="32" t="inlineStr">
        <is>
          <t>public.rep_kpi_targets.target_value (migration 20260907090000_rep_kpi_targets.sql, not yet in generated types — queried `as never`)</t>
        </is>
      </c>
      <c r="G21" s="32" t="inlineStr">
        <is>
          <t>as-of today (target versioning), applied to the metric's own period</t>
        </is>
      </c>
      <c r="H21" s="27" t="inlineStr">
        <is>
          <t>LIVE</t>
        </is>
      </c>
      <c r="I21" s="33" t="inlineStr">
        <is>
          <t>SALE-0170</t>
        </is>
      </c>
    </row>
    <row r="22" ht="30" customHeight="1">
      <c r="A22" s="23" t="inlineStr">
        <is>
          <t>Variance</t>
        </is>
      </c>
      <c r="B22" s="37" t="n"/>
      <c r="C22" s="25" t="inlineStr">
        <is>
          <t>count / $ / % (matches metric's unit)</t>
        </is>
      </c>
      <c r="D22" s="25" t="inlineStr">
        <is>
          <t>DERIVED</t>
        </is>
      </c>
      <c r="E22" s="26" t="inlineStr">
        <is>
          <t>variance = actualValue - targetValue (kpi-targets.ts:317)</t>
        </is>
      </c>
      <c r="F22" s="26" t="inlineStr">
        <is>
          <t>computeTargetProgress()</t>
        </is>
      </c>
      <c r="G22" s="26" t="inlineStr">
        <is>
          <t>same as SALE-0169</t>
        </is>
      </c>
      <c r="H22" s="27" t="inlineStr">
        <is>
          <t>LIVE</t>
        </is>
      </c>
      <c r="I22" s="28" t="inlineStr">
        <is>
          <t>SALE-0171</t>
        </is>
      </c>
    </row>
    <row r="23" ht="30" customHeight="1">
      <c r="A23" s="29" t="inlineStr">
        <is>
          <t>% to Goal</t>
        </is>
      </c>
      <c r="B23" s="39" t="n"/>
      <c r="C23" s="31" t="inlineStr">
        <is>
          <t>%</t>
        </is>
      </c>
      <c r="D23" s="31" t="inlineStr">
        <is>
          <t>DERIVED</t>
        </is>
      </c>
      <c r="E23" s="32" t="inlineStr">
        <is>
          <t>percentOfTarget = (actualValue/targetValue)*100 (kpi-targets.ts:318)</t>
        </is>
      </c>
      <c r="F23" s="32" t="inlineStr">
        <is>
          <t>computeTargetProgress()</t>
        </is>
      </c>
      <c r="G23" s="32" t="inlineStr">
        <is>
          <t>same as SALE-0169</t>
        </is>
      </c>
      <c r="H23" s="27" t="inlineStr">
        <is>
          <t>LIVE</t>
        </is>
      </c>
      <c r="I23" s="33" t="inlineStr">
        <is>
          <t>SALE-0172</t>
        </is>
      </c>
    </row>
    <row r="24" ht="30" customHeight="1">
      <c r="A24" s="23" t="inlineStr">
        <is>
          <t>Status)</t>
        </is>
      </c>
      <c r="B24" s="24" t="inlineStr">
        <is>
          <t>n/a</t>
        </is>
      </c>
      <c r="C24" s="25" t="inlineStr">
        <is>
          <t>enum (status label)</t>
        </is>
      </c>
      <c r="D24" s="25" t="inlineStr">
        <is>
          <t>STATUS</t>
        </is>
      </c>
      <c r="E24" s="26" t="inlineStr">
        <is>
          <t>One of no_target/insufficient_data/ahead/on_pace/behind/at_risk — branches on period-complete attainment vs. AHEAD_RATIO=1.05/ON_PACE_RATIO=0.9 (period complete) or on pace-vs-expected-by-now and requiredDailyPace vs. 2x the target's own steady daily rate (period in progress) — kpi-targets.ts:250...</t>
        </is>
      </c>
      <c r="F24" s="26" t="inlineStr">
        <is>
          <t>computeTargetProgress()</t>
        </is>
      </c>
      <c r="G24" s="26" t="inlineStr">
        <is>
          <t>same as SALE-0169</t>
        </is>
      </c>
      <c r="H24" s="27" t="inlineStr">
        <is>
          <t>LIVE</t>
        </is>
      </c>
      <c r="I24" s="28" t="inlineStr">
        <is>
          <t>SALE-0173</t>
        </is>
      </c>
    </row>
    <row r="25" ht="6" customHeight="1"/>
    <row r="26" ht="20" customHeight="1">
      <c r="A26" s="22" t="inlineStr">
        <is>
          <t>ROSTER</t>
        </is>
      </c>
    </row>
    <row r="27" ht="30" customHeight="1">
      <c r="A27" s="29" t="inlineStr">
        <is>
          <t>Booked</t>
        </is>
      </c>
      <c r="B27" s="37" t="n"/>
      <c r="C27" s="31" t="inlineStr">
        <is>
          <t>count</t>
        </is>
      </c>
      <c r="D27" s="31" t="inlineStr">
        <is>
          <t>AGGREGATED</t>
        </is>
      </c>
      <c r="E27" s="32" t="inlineStr">
        <is>
          <t>setterCalls = calls.filter(c=&gt;c.setter_id===m.user_id) [date-ranged via fromISO/toISO]; booked = setterCalls.length</t>
        </is>
      </c>
      <c r="F27" s="32" t="inlineStr">
        <is>
          <t>public.calls.setter_id matched to memberships.user_id — team.tsx:339-364</t>
        </is>
      </c>
      <c r="G27" s="32" t="inlineStr">
        <is>
          <t>page's own DateRangeProvider range (team.tsx:124-126,347-348)</t>
        </is>
      </c>
      <c r="H27" s="27" t="inlineStr">
        <is>
          <t>LIVE</t>
        </is>
      </c>
      <c r="I27" s="33" t="inlineStr">
        <is>
          <t>SALE-0174</t>
        </is>
      </c>
    </row>
    <row r="28" ht="30" customHeight="1">
      <c r="A28" s="23" t="inlineStr">
        <is>
          <t>Shown</t>
        </is>
      </c>
      <c r="B28" s="37" t="n"/>
      <c r="C28" s="25" t="inlineStr">
        <is>
          <t>count</t>
        </is>
      </c>
      <c r="D28" s="25" t="inlineStr">
        <is>
          <t>AGGREGATED</t>
        </is>
      </c>
      <c r="E28" s="26" t="inlineStr">
        <is>
          <t>shown = setterCalls.filter(c=&gt;c.showed).length — team.tsx:360</t>
        </is>
      </c>
      <c r="F28" s="26" t="inlineStr">
        <is>
          <t>same setterStats query</t>
        </is>
      </c>
      <c r="G28" s="26" t="inlineStr">
        <is>
          <t>page's own date range</t>
        </is>
      </c>
      <c r="H28" s="27" t="inlineStr">
        <is>
          <t>LIVE</t>
        </is>
      </c>
      <c r="I28" s="28" t="inlineStr">
        <is>
          <t>SALE-0175</t>
        </is>
      </c>
    </row>
    <row r="29" ht="30" customHeight="1">
      <c r="A29" s="29" t="inlineStr">
        <is>
          <t>Closes</t>
        </is>
      </c>
      <c r="B29" s="37" t="n"/>
      <c r="C29" s="31" t="inlineStr">
        <is>
          <t>count</t>
        </is>
      </c>
      <c r="D29" s="31" t="inlineStr">
        <is>
          <t>AGGREGATED</t>
        </is>
      </c>
      <c r="E29" s="32" t="inlineStr">
        <is>
          <t>closerCalls = calls.filter(c=&gt;c.closer_id===m.user_id); closes = closerCalls.filter(c=&gt;c.closed).length — team.tsx:356,361</t>
        </is>
      </c>
      <c r="F29" s="32" t="inlineStr">
        <is>
          <t>public.calls.closer_id matched to memberships.user_id</t>
        </is>
      </c>
      <c r="G29" s="32" t="inlineStr">
        <is>
          <t>page's own date range</t>
        </is>
      </c>
      <c r="H29" s="27" t="inlineStr">
        <is>
          <t>LIVE</t>
        </is>
      </c>
      <c r="I29" s="33" t="inlineStr">
        <is>
          <t>SALE-0176</t>
        </is>
      </c>
    </row>
    <row r="30" ht="30" customHeight="1">
      <c r="A30" s="23" t="inlineStr">
        <is>
          <t>Cash</t>
        </is>
      </c>
      <c r="B30" s="34" t="n"/>
      <c r="C30" s="25" t="inlineStr">
        <is>
          <t>$</t>
        </is>
      </c>
      <c r="D30" s="25" t="inlineStr">
        <is>
          <t>AGGREGATED</t>
        </is>
      </c>
      <c r="E30" s="26" t="inlineStr">
        <is>
          <t>cash = closerCalls.reduce((s,c)=&gt;s+(c.cash_collected_cents??0),0) — team.tsx:362</t>
        </is>
      </c>
      <c r="F30" s="26" t="inlineStr">
        <is>
          <t>same closerCalls</t>
        </is>
      </c>
      <c r="G30" s="26" t="inlineStr">
        <is>
          <t>page's own date range</t>
        </is>
      </c>
      <c r="H30" s="27" t="inlineStr">
        <is>
          <t>LIVE</t>
        </is>
      </c>
      <c r="I30" s="28" t="inlineStr">
        <is>
          <t>SALE-0177</t>
        </is>
      </c>
    </row>
    <row r="31" ht="30" customHeight="1">
      <c r="A31" s="29" t="inlineStr">
        <is>
          <t>Close %</t>
        </is>
      </c>
      <c r="B31" s="39" t="n"/>
      <c r="C31" s="31" t="inlineStr">
        <is>
          <t>%</t>
        </is>
      </c>
      <c r="D31" s="31" t="inlineStr">
        <is>
          <t>DERIVED</t>
        </is>
      </c>
      <c r="E31" s="32" t="inlineStr">
        <is>
          <t>m.shown ? (m.closes/m.shown)*100 : '—' — team.tsx:721 (Closes ÷ Shown, not Closes ÷ Booked)</t>
        </is>
      </c>
      <c r="F31" s="32" t="inlineStr">
        <is>
          <t>byUser row (booked/shown/closes/cash computed above)</t>
        </is>
      </c>
      <c r="G31" s="32" t="inlineStr">
        <is>
          <t>page's own date range</t>
        </is>
      </c>
      <c r="H31" s="27" t="inlineStr">
        <is>
          <t>LIVE</t>
        </is>
      </c>
      <c r="I31" s="33" t="inlineStr">
        <is>
          <t>SALE-0178</t>
        </is>
      </c>
    </row>
    <row r="32" ht="30" customHeight="1">
      <c r="A32" s="23" t="inlineStr">
        <is>
          <t>Status</t>
        </is>
      </c>
      <c r="B32" s="37" t="n"/>
      <c r="C32" s="25" t="inlineStr">
        <is>
          <t>text (static label)</t>
        </is>
      </c>
      <c r="D32" s="25" t="inlineStr">
        <is>
          <t>PLACEHOLDER</t>
        </is>
      </c>
      <c r="E32" s="26" t="inlineStr"/>
      <c r="F32" s="26" t="inlineStr">
        <is>
          <t>hardcoded literal 'Active' string in JSX (team.tsx:723-726)</t>
        </is>
      </c>
      <c r="G32" s="26" t="inlineStr">
        <is>
          <t>n/a</t>
        </is>
      </c>
      <c r="H32" s="36" t="inlineStr">
        <is>
          <t>PLACEHOLDER</t>
        </is>
      </c>
      <c r="I32" s="28" t="inlineStr">
        <is>
          <t>SALE-0179</t>
        </is>
      </c>
    </row>
    <row r="33" ht="6" customHeight="1"/>
    <row r="34" ht="20" customHeight="1">
      <c r="A34" s="22" t="inlineStr">
        <is>
          <t>ACCESS</t>
        </is>
      </c>
    </row>
    <row r="35" ht="30" customHeight="1">
      <c r="A35" s="29" t="inlineStr">
        <is>
          <t>Pending access requests</t>
        </is>
      </c>
      <c r="B35" s="37" t="n"/>
      <c r="C35" s="31" t="inlineStr">
        <is>
          <t>count</t>
        </is>
      </c>
      <c r="D35" s="31" t="inlineStr">
        <is>
          <t>AGGREGATED</t>
        </is>
      </c>
      <c r="E35" s="32" t="inlineStr">
        <is>
          <t>requests.length, filtered .eq('status','pending')</t>
        </is>
      </c>
      <c r="F35" s="32" t="inlineStr">
        <is>
          <t>public.membership_requests — team.tsx:141-154</t>
        </is>
      </c>
      <c r="G35" s="32" t="inlineStr">
        <is>
          <t>none/point-in-time (current pending queue)</t>
        </is>
      </c>
      <c r="H35" s="27" t="inlineStr">
        <is>
          <t>LIVE</t>
        </is>
      </c>
      <c r="I35" s="33" t="inlineStr">
        <is>
          <t>SALE-0180</t>
        </is>
      </c>
    </row>
    <row r="36" ht="30" customHeight="1">
      <c r="A36" s="23" t="inlineStr">
        <is>
          <t>Recent access changes</t>
        </is>
      </c>
      <c r="B36" s="24" t="inlineStr">
        <is>
          <t>n/a</t>
        </is>
      </c>
      <c r="C36" s="25" t="inlineStr">
        <is>
          <t>list of events (count=20 max shown)</t>
        </is>
      </c>
      <c r="D36" s="25" t="inlineStr">
        <is>
          <t>EVENT</t>
        </is>
      </c>
      <c r="E36" s="26" t="inlineStr">
        <is>
          <t>List of the 20 most recent rows (action in membership_approved/membership_rejected/access_revoked), order by created_at desc, limit 20</t>
        </is>
      </c>
      <c r="F36" s="26" t="inlineStr">
        <is>
          <t>public.access_audit_log (migration 20260903200000_phase6_access_center_audit_revoke.sql:14-22) — team.tsx:205-218</t>
        </is>
      </c>
      <c r="G36" s="26" t="inlineStr">
        <is>
          <t>all-time (most recent 20, no date filter)</t>
        </is>
      </c>
      <c r="H36" s="27" t="inlineStr">
        <is>
          <t>LIVE</t>
        </is>
      </c>
      <c r="I36" s="28" t="inlineStr">
        <is>
          <t>SALE-0181</t>
        </is>
      </c>
    </row>
    <row r="37" ht="6" customHeight="1"/>
  </sheetData>
  <autoFilter ref="A4:I36"/>
  <mergeCells count="5">
    <mergeCell ref="A19:I19"/>
    <mergeCell ref="A5:I5"/>
    <mergeCell ref="A14:I14"/>
    <mergeCell ref="A34:I34"/>
    <mergeCell ref="A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Team Calendars</t>
        </is>
      </c>
    </row>
    <row r="2">
      <c r="A2" s="21" t="inlineStr">
        <is>
          <t>13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SUMMARY TILES</t>
        </is>
      </c>
    </row>
    <row r="6" ht="30" customHeight="1">
      <c r="A6" s="23" t="inlineStr">
        <is>
          <t>Calls Today/Week/Month/Year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summary.total = periodEntries.length, where periodEntries = calls (enriched with confirmation status) filtered to the exact [periodStart,periodEnd) of the active Day/Week/Month/Year view — calls-on-calendar.tsx:674-711,748</t>
        </is>
      </c>
      <c r="F6" s="26" t="inlineStr">
        <is>
          <t>public.calls (org_id-scoped) + public.call_confirmations + public.confirmation_policy — src/components/calls-on-calendar.tsx:490-555 + src/lib/call-confirmations.ts/.server.ts</t>
        </is>
      </c>
      <c r="G6" s="26" t="inlineStr">
        <is>
          <t>the active calendar view's period (day/week/month/year), NOT the global DateRangeProvider</t>
        </is>
      </c>
      <c r="H6" s="27" t="inlineStr">
        <is>
          <t>LIVE</t>
        </is>
      </c>
      <c r="I6" s="28" t="inlineStr">
        <is>
          <t>SALE-0182</t>
        </is>
      </c>
    </row>
    <row r="7" ht="30" customHeight="1">
      <c r="A7" s="29" t="inlineStr">
        <is>
          <t>Pre-Call Ready</t>
        </is>
      </c>
      <c r="B7" s="37" t="n"/>
      <c r="C7" s="31" t="inlineStr">
        <is>
          <t>count</t>
        </is>
      </c>
      <c r="D7" s="31" t="inlineStr">
        <is>
          <t>DERIVED</t>
        </is>
      </c>
      <c r="E7" s="32" t="inlineStr">
        <is>
          <t>summary.ready = periodEntries.filter(e =&gt; e.checklistDone===e.checklist.length &amp;&amp; e.overallStatus!=='cancelled').length — calls-on-calendar.tsx:704-706. Checklist = 8 boolean items (night-before homework sent, pre-call video watched, morning message sent, morning response received, goals captured...</t>
        </is>
      </c>
      <c r="F7" s="32" t="inlineStr">
        <is>
          <t>buildPreCallChecklist() — src/lib/call-confirmations.ts:239-257</t>
        </is>
      </c>
      <c r="G7" s="32" t="inlineStr">
        <is>
          <t>same period as SALE-0182</t>
        </is>
      </c>
      <c r="H7" s="27" t="inlineStr">
        <is>
          <t>LIVE</t>
        </is>
      </c>
      <c r="I7" s="33" t="inlineStr">
        <is>
          <t>SALE-0183</t>
        </is>
      </c>
    </row>
    <row r="8" ht="30" customHeight="1">
      <c r="A8" s="23" t="inlineStr">
        <is>
          <t>Video Not Watched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summary.videoNotWatched = periodEntries.filter(e =&gt; e.lead &amp;&amp; !e.lead.precall_video_watched &amp;&amp; e.overallStatus!=='cancelled').length — calls-on-calendar.tsx:707-709</t>
        </is>
      </c>
      <c r="F8" s="26" t="inlineStr">
        <is>
          <t>leads.precall_video_watched</t>
        </is>
      </c>
      <c r="G8" s="26" t="inlineStr">
        <is>
          <t>same period as SALE-0182</t>
        </is>
      </c>
      <c r="H8" s="27" t="inlineStr">
        <is>
          <t>LIVE</t>
        </is>
      </c>
      <c r="I8" s="28" t="inlineStr">
        <is>
          <t>SALE-0184</t>
        </is>
      </c>
    </row>
    <row r="9" ht="30" customHeight="1">
      <c r="A9" s="29" t="inlineStr">
        <is>
          <t>Open Slots</t>
        </is>
      </c>
      <c r="B9" s="37" t="n"/>
      <c r="C9" s="31" t="inlineStr">
        <is>
          <t>count</t>
        </is>
      </c>
      <c r="D9" s="31" t="inlineStr">
        <is>
          <t>AGGREGATED</t>
        </is>
      </c>
      <c r="E9" s="32" t="inlineStr">
        <is>
          <t>summary.openSlots = periodEntries.filter(e =&gt; e.overallStatus==='cancelled').length — calls-on-calendar.tsx:710</t>
        </is>
      </c>
      <c r="F9" s="32" t="inlineStr">
        <is>
          <t>calls.cancelled (via overallStatus derivation)</t>
        </is>
      </c>
      <c r="G9" s="32" t="inlineStr">
        <is>
          <t>same period as SALE-0182</t>
        </is>
      </c>
      <c r="H9" s="27" t="inlineStr">
        <is>
          <t>LIVE</t>
        </is>
      </c>
      <c r="I9" s="33" t="inlineStr">
        <is>
          <t>SALE-0185</t>
        </is>
      </c>
    </row>
    <row r="10" ht="6" customHeight="1"/>
    <row r="11" ht="20" customHeight="1">
      <c r="A11" s="22" t="inlineStr">
        <is>
          <t>STATUS LEGEND</t>
        </is>
      </c>
    </row>
    <row r="12" ht="30" customHeight="1">
      <c r="A12" s="23" t="inlineStr">
        <is>
          <t>Confirmed</t>
        </is>
      </c>
      <c r="B12" s="24" t="inlineStr">
        <is>
          <t>n/a</t>
        </is>
      </c>
      <c r="C12" s="25" t="inlineStr">
        <is>
          <t>count (periodStatusCounts.confirmed)</t>
        </is>
      </c>
      <c r="D12" s="25" t="inlineStr">
        <is>
          <t>STATUS</t>
        </is>
      </c>
      <c r="E12" s="26" t="inlineStr">
        <is>
          <t>overall_status stays 'confirmed' once explicitly set (rep action); deriveOverallStatus never overwrites confirmed/cancelled/rescheduled — evaluated on every read via confirmation_policy thresholds (call-confirmations.server.ts:60-...)</t>
        </is>
      </c>
      <c r="F12" s="26" t="inlineStr">
        <is>
          <t>call_confirmations.overall_status — deriveOverallStatus(), src/lib/call-confirmations.ts:173-190</t>
        </is>
      </c>
      <c r="G12" s="26" t="inlineStr">
        <is>
          <t>same period as SALE-0182</t>
        </is>
      </c>
      <c r="H12" s="27" t="inlineStr">
        <is>
          <t>LIVE</t>
        </is>
      </c>
      <c r="I12" s="28" t="inlineStr">
        <is>
          <t>SALE-0186</t>
        </is>
      </c>
    </row>
    <row r="13" ht="30" customHeight="1">
      <c r="A13" s="29" t="inlineStr">
        <is>
          <t>Awaiting confirmation</t>
        </is>
      </c>
      <c r="B13" s="30" t="inlineStr">
        <is>
          <t>n/a</t>
        </is>
      </c>
      <c r="C13" s="31" t="inlineStr">
        <is>
          <t>count</t>
        </is>
      </c>
      <c r="D13" s="31" t="inlineStr">
        <is>
          <t>STATUS</t>
        </is>
      </c>
      <c r="E13" s="32" t="inlineStr">
        <is>
          <t>default overall_status when no confirmation row/action exists yet and hoursUntilCall &gt; overdueAfterHours — call-confirmations.ts:187-189</t>
        </is>
      </c>
      <c r="F13" s="32" t="inlineStr">
        <is>
          <t>same</t>
        </is>
      </c>
      <c r="G13" s="32" t="inlineStr">
        <is>
          <t>same period</t>
        </is>
      </c>
      <c r="H13" s="27" t="inlineStr">
        <is>
          <t>LIVE</t>
        </is>
      </c>
      <c r="I13" s="33" t="inlineStr">
        <is>
          <t>SALE-0187</t>
        </is>
      </c>
    </row>
    <row r="14" ht="30" customHeight="1">
      <c r="A14" s="23" t="inlineStr">
        <is>
          <t>Confirmation overdue</t>
        </is>
      </c>
      <c r="B14" s="24" t="inlineStr">
        <is>
          <t>n/a</t>
        </is>
      </c>
      <c r="C14" s="25" t="inlineStr">
        <is>
          <t>count</t>
        </is>
      </c>
      <c r="D14" s="25" t="inlineStr">
        <is>
          <t>STATUS</t>
        </is>
      </c>
      <c r="E14" s="26" t="inlineStr">
        <is>
          <t>hoursUntilCall &lt;= confirmation_policy.overdue_after_hours (org-configurable, default 24h) — call-confirmations.ts:186-188, policy default at call-confirmations.server.ts:13-17</t>
        </is>
      </c>
      <c r="F14" s="26" t="inlineStr">
        <is>
          <t>same</t>
        </is>
      </c>
      <c r="G14" s="26" t="inlineStr">
        <is>
          <t>same period</t>
        </is>
      </c>
      <c r="H14" s="27" t="inlineStr">
        <is>
          <t>LIVE</t>
        </is>
      </c>
      <c r="I14" s="28" t="inlineStr">
        <is>
          <t>SALE-0188</t>
        </is>
      </c>
    </row>
    <row r="15" ht="30" customHeight="1">
      <c r="A15" s="29" t="inlineStr">
        <is>
          <t>At risk</t>
        </is>
      </c>
      <c r="B15" s="30" t="inlineStr">
        <is>
          <t>n/a</t>
        </is>
      </c>
      <c r="C15" s="31" t="inlineStr">
        <is>
          <t>count</t>
        </is>
      </c>
      <c r="D15" s="31" t="inlineStr">
        <is>
          <t>STATUS</t>
        </is>
      </c>
      <c r="E15" s="32" t="inlineStr">
        <is>
          <t>hoursUntilCall &lt;= confirmation_policy.at_risk_after_hours (org-configurable, default 4h) — call-confirmations.ts:186-187</t>
        </is>
      </c>
      <c r="F15" s="32" t="inlineStr">
        <is>
          <t>same</t>
        </is>
      </c>
      <c r="G15" s="32" t="inlineStr">
        <is>
          <t>same period</t>
        </is>
      </c>
      <c r="H15" s="27" t="inlineStr">
        <is>
          <t>LIVE</t>
        </is>
      </c>
      <c r="I15" s="33" t="inlineStr">
        <is>
          <t>SALE-0189</t>
        </is>
      </c>
    </row>
    <row r="16" ht="30" customHeight="1">
      <c r="A16" s="23" t="inlineStr">
        <is>
          <t>Cancelled</t>
        </is>
      </c>
      <c r="B16" s="24" t="inlineStr">
        <is>
          <t>n/a</t>
        </is>
      </c>
      <c r="C16" s="25" t="inlineStr">
        <is>
          <t>count</t>
        </is>
      </c>
      <c r="D16" s="25" t="inlineStr">
        <is>
          <t>STATUS</t>
        </is>
      </c>
      <c r="E16" s="26" t="inlineStr">
        <is>
          <t>overallStatus = call.cancelled ? 'cancelled' : ... — calls-on-calendar.tsx:567-569</t>
        </is>
      </c>
      <c r="F16" s="26" t="inlineStr">
        <is>
          <t>calls.cancelled boolean</t>
        </is>
      </c>
      <c r="G16" s="26" t="inlineStr">
        <is>
          <t>same period</t>
        </is>
      </c>
      <c r="H16" s="27" t="inlineStr">
        <is>
          <t>LIVE</t>
        </is>
      </c>
      <c r="I16" s="28" t="inlineStr">
        <is>
          <t>SALE-0190</t>
        </is>
      </c>
    </row>
    <row r="17" ht="30" customHeight="1">
      <c r="A17" s="29" t="inlineStr">
        <is>
          <t>Rescheduled</t>
        </is>
      </c>
      <c r="B17" s="30" t="inlineStr">
        <is>
          <t>n/a</t>
        </is>
      </c>
      <c r="C17" s="31" t="inlineStr">
        <is>
          <t>count</t>
        </is>
      </c>
      <c r="D17" s="31" t="inlineStr">
        <is>
          <t>STATUS</t>
        </is>
      </c>
      <c r="E17" s="32" t="inlineStr">
        <is>
          <t>Set by explicit rep action (reschedule flow), never auto-derived by deriveOverallStatus (which passes rescheduled through unchanged) — call-confirmations.ts:179-184</t>
        </is>
      </c>
      <c r="F17" s="32" t="inlineStr">
        <is>
          <t>call_confirmations.overall_status='rescheduled' + calls.calendly_reschedule_url/reschedule_reason (migration 20260911100000_calendar_reschedule_reason_and_calendly_links.sql)</t>
        </is>
      </c>
      <c r="G17" s="32" t="inlineStr">
        <is>
          <t>same period</t>
        </is>
      </c>
      <c r="H17" s="27" t="inlineStr">
        <is>
          <t>LIVE</t>
        </is>
      </c>
      <c r="I17" s="33" t="inlineStr">
        <is>
          <t>SALE-0191</t>
        </is>
      </c>
    </row>
    <row r="18" ht="6" customHeight="1"/>
    <row r="19" ht="20" customHeight="1">
      <c r="A19" s="22" t="inlineStr">
        <is>
          <t>PRE-CALL SEQUENCE</t>
        </is>
      </c>
    </row>
    <row r="20" ht="30" customHeight="1">
      <c r="A20" s="23" t="inlineStr">
        <is>
          <t>Not sent</t>
        </is>
      </c>
      <c r="B20" s="24" t="inlineStr">
        <is>
          <t>n/a</t>
        </is>
      </c>
      <c r="C20" s="25" t="inlineStr">
        <is>
          <t>status (per-touchpoint indicator, not an aggregate count tile)</t>
        </is>
      </c>
      <c r="D20" s="25" t="inlineStr">
        <is>
          <t>STATUS</t>
        </is>
      </c>
      <c r="E20" s="26" t="inlineStr">
        <is>
          <t>Per-touchpoint (of 5: night_before/morning/one_hour/thirty_min/ten_min) state = 'not_sent' when no *_sent_at/*_scheduled_at/*_responded_at timestamp exists and the touchpoint's send window has closed</t>
        </is>
      </c>
      <c r="F20" s="26" t="inlineStr">
        <is>
          <t>deriveTouchpointStatus() — src/lib/call-confirmations.ts:144-165, rendered per-touchpoint by ConfirmationCircles (calls-on-calendar.tsx:1641-1689)</t>
        </is>
      </c>
      <c r="G20" s="26" t="inlineStr">
        <is>
          <t>relative to each call's scheduled_for time</t>
        </is>
      </c>
      <c r="H20" s="27" t="inlineStr">
        <is>
          <t>LIVE</t>
        </is>
      </c>
      <c r="I20" s="28" t="inlineStr">
        <is>
          <t>SALE-0192</t>
        </is>
      </c>
    </row>
    <row r="21" ht="30" customHeight="1">
      <c r="A21" s="29" t="inlineStr">
        <is>
          <t>Sent no response</t>
        </is>
      </c>
      <c r="B21" s="30" t="inlineStr">
        <is>
          <t>n/a</t>
        </is>
      </c>
      <c r="C21" s="31" t="inlineStr">
        <is>
          <t>status (per-touchpoint indicator)</t>
        </is>
      </c>
      <c r="D21" s="31" t="inlineStr">
        <is>
          <t>STATUS</t>
        </is>
      </c>
      <c r="E21" s="32" t="inlineStr">
        <is>
          <t>status==='manually_sent' || status==='scheduled' (a *_sent_at or *_scheduled_at timestamp exists but no *_responded_at yet) — calls-on-calendar.tsx:1655</t>
        </is>
      </c>
      <c r="F21" s="32" t="inlineStr">
        <is>
          <t>same</t>
        </is>
      </c>
      <c r="G21" s="32" t="inlineStr">
        <is>
          <t>relative to each call's scheduled_for</t>
        </is>
      </c>
      <c r="H21" s="27" t="inlineStr">
        <is>
          <t>LIVE</t>
        </is>
      </c>
      <c r="I21" s="33" t="inlineStr">
        <is>
          <t>SALE-0193</t>
        </is>
      </c>
    </row>
    <row r="22" ht="30" customHeight="1">
      <c r="A22" s="23" t="inlineStr">
        <is>
          <t>Responded</t>
        </is>
      </c>
      <c r="B22" s="24" t="inlineStr">
        <is>
          <t>n/a</t>
        </is>
      </c>
      <c r="C22" s="25" t="inlineStr">
        <is>
          <t>status (per-touchpoint indicator)</t>
        </is>
      </c>
      <c r="D22" s="25" t="inlineStr">
        <is>
          <t>STATUS</t>
        </is>
      </c>
      <c r="E22" s="26" t="inlineStr">
        <is>
          <t>status==='responded' (a *_responded_at timestamp is set) — calls-on-calendar.tsx:1654</t>
        </is>
      </c>
      <c r="F22" s="26" t="inlineStr">
        <is>
          <t>same</t>
        </is>
      </c>
      <c r="G22" s="26" t="inlineStr">
        <is>
          <t>relative to each call's scheduled_for</t>
        </is>
      </c>
      <c r="H22" s="27" t="inlineStr">
        <is>
          <t>LIVE</t>
        </is>
      </c>
      <c r="I22" s="28" t="inlineStr">
        <is>
          <t>SALE-0194</t>
        </is>
      </c>
    </row>
    <row r="23" ht="6" customHeight="1"/>
  </sheetData>
  <autoFilter ref="A4:I22"/>
  <mergeCells count="3">
    <mergeCell ref="A5:I5"/>
    <mergeCell ref="A19:I19"/>
    <mergeCell ref="A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Hiring</t>
        </is>
      </c>
    </row>
    <row r="2">
      <c r="A2" s="21" t="inlineStr">
        <is>
          <t>17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STAT ROW</t>
        </is>
      </c>
    </row>
    <row r="6" ht="30" customHeight="1">
      <c r="A6" s="23" t="inlineStr">
        <is>
          <t>Total applicants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total = applicants.length — src/routes/_authenticated.hiring.tsx:498,317-328 (.eq('org_id',orgId!).order('applied_at',desc))</t>
        </is>
      </c>
      <c r="F6" s="26" t="inlineStr">
        <is>
          <t>public.hiring_applicants (org_id uuid not null, RLS org-scoped — migration 20260530225026_....sql)</t>
        </is>
      </c>
      <c r="G6" s="26" t="inlineStr">
        <is>
          <t>all-time (no range filter on this tile; the page's own rangePreset filter applies to the table/kanban's `filtered` array, not this stat)</t>
        </is>
      </c>
      <c r="H6" s="27" t="inlineStr">
        <is>
          <t>LIVE</t>
        </is>
      </c>
      <c r="I6" s="28" t="inlineStr">
        <is>
          <t>SALE-0195</t>
        </is>
      </c>
    </row>
    <row r="7" ht="30" customHeight="1">
      <c r="A7" s="29" t="inlineStr">
        <is>
          <t>Interview/Trial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interviewWorthy = applicants.filter(a =&gt; a.stage==='interview_worthy' || a.stage==='trial_call').length — hiring.tsx:500-502</t>
        </is>
      </c>
      <c r="F7" s="32" t="inlineStr">
        <is>
          <t>public.hiring_applicants (org_id uuid not null, RLS org-scoped — migration 20260530225026_....sql).stage</t>
        </is>
      </c>
      <c r="G7" s="32" t="inlineStr">
        <is>
          <t>all-time (unfiltered `applicants`, not the filtered/ranged `filtered` array)</t>
        </is>
      </c>
      <c r="H7" s="27" t="inlineStr">
        <is>
          <t>LIVE</t>
        </is>
      </c>
      <c r="I7" s="33" t="inlineStr">
        <is>
          <t>SALE-0196</t>
        </is>
      </c>
    </row>
    <row r="8" ht="30" customHeight="1">
      <c r="A8" s="23" t="inlineStr">
        <is>
          <t>Hired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hired = applicants.filter(a=&gt;a.stage==='hired').length — hiring.tsx:499</t>
        </is>
      </c>
      <c r="F8" s="26" t="inlineStr">
        <is>
          <t>public.hiring_applicants (org_id uuid not null, RLS org-scoped — migration 20260530225026_....sql).stage</t>
        </is>
      </c>
      <c r="G8" s="26" t="inlineStr">
        <is>
          <t>all-time (unfiltered)</t>
        </is>
      </c>
      <c r="H8" s="27" t="inlineStr">
        <is>
          <t>LIVE</t>
        </is>
      </c>
      <c r="I8" s="28" t="inlineStr">
        <is>
          <t>SALE-0197</t>
        </is>
      </c>
    </row>
    <row r="9" ht="30" customHeight="1">
      <c r="A9" s="29" t="inlineStr">
        <is>
          <t>Avg AI score</t>
        </is>
      </c>
      <c r="B9" s="39" t="n"/>
      <c r="C9" s="31" t="inlineStr">
        <is>
          <t>% (rendered as a /10 score, e.g. '7.3', despite unit=% in the input list — actually a 0-10 scale)</t>
        </is>
      </c>
      <c r="D9" s="31" t="inlineStr">
        <is>
          <t>DERIVED</t>
        </is>
      </c>
      <c r="E9" s="32" t="inlineStr">
        <is>
          <t>avgScore = sum(ai_score ?? 0) / applicants.length (ALL applicants, including ungraded) — hiring.tsx:503-505</t>
        </is>
      </c>
      <c r="F9" s="32" t="inlineStr">
        <is>
          <t>public.hiring_applicants (org_id uuid not null, RLS org-scoped — migration 20260530225026_....sql).ai_score (numeric, set by gradeApplicantFromTranscript — src/lib/hiring.server.ts:83,98)</t>
        </is>
      </c>
      <c r="G9" s="32" t="inlineStr">
        <is>
          <t>all-time (unfiltered)</t>
        </is>
      </c>
      <c r="H9" s="27" t="inlineStr">
        <is>
          <t>LIVE</t>
        </is>
      </c>
      <c r="I9" s="33" t="inlineStr">
        <is>
          <t>SALE-0198</t>
        </is>
      </c>
    </row>
    <row r="10" ht="6" customHeight="1"/>
    <row r="11" ht="20" customHeight="1">
      <c r="A11" s="22" t="inlineStr">
        <is>
          <t>PER-ROLE TAB</t>
        </is>
      </c>
    </row>
    <row r="12" ht="30" customHeight="1">
      <c r="A12" s="23" t="inlineStr">
        <is>
          <t>{Role}s in pipeline</t>
        </is>
      </c>
      <c r="B12" s="37" t="n"/>
      <c r="C12" s="25" t="inlineStr">
        <is>
          <t>count</t>
        </is>
      </c>
      <c r="D12" s="25" t="inlineStr">
        <is>
          <t>AGGREGATED</t>
        </is>
      </c>
      <c r="E12" s="26" t="inlineStr">
        <is>
          <t>roleApplicants = filtered.filter(a=&gt;a.role_applied===t.key).length — hiring.tsx:735-746 (`filtered` respects query/region/date-range filters, unlike the top stat row)</t>
        </is>
      </c>
      <c r="F12" s="26" t="inlineStr">
        <is>
          <t>public.hiring_applicants (org_id uuid not null, RLS org-scoped — migration 20260530225026_....sql).role_applied, scoped to the currently active filters</t>
        </is>
      </c>
      <c r="G12" s="26" t="inlineStr">
        <is>
          <t>respects the page's query/regionFilter/rangePreset (applied_at-based) filters — hiring.tsx:340-349</t>
        </is>
      </c>
      <c r="H12" s="27" t="inlineStr">
        <is>
          <t>LIVE</t>
        </is>
      </c>
      <c r="I12" s="28" t="inlineStr">
        <is>
          <t>SALE-0199</t>
        </is>
      </c>
    </row>
    <row r="13" ht="30" customHeight="1">
      <c r="A13" s="29" t="inlineStr">
        <is>
          <t>Hired</t>
        </is>
      </c>
      <c r="B13" s="37" t="n"/>
      <c r="C13" s="31" t="inlineStr">
        <is>
          <t>count</t>
        </is>
      </c>
      <c r="D13" s="31" t="inlineStr">
        <is>
          <t>AGGREGATED</t>
        </is>
      </c>
      <c r="E13" s="32" t="inlineStr">
        <is>
          <t>roleHired = roleApplicants.filter(a=&gt;a.stage==='hired').length — hiring.tsx:740</t>
        </is>
      </c>
      <c r="F13" s="32" t="inlineStr">
        <is>
          <t>same filtered roleApplicants</t>
        </is>
      </c>
      <c r="G13" s="32" t="inlineStr">
        <is>
          <t>same as SALE-0199</t>
        </is>
      </c>
      <c r="H13" s="27" t="inlineStr">
        <is>
          <t>LIVE</t>
        </is>
      </c>
      <c r="I13" s="33" t="inlineStr">
        <is>
          <t>SALE-0200</t>
        </is>
      </c>
    </row>
    <row r="14" ht="30" customHeight="1">
      <c r="A14" s="23" t="inlineStr">
        <is>
          <t>Avg transcript-quality score</t>
        </is>
      </c>
      <c r="B14" s="37" t="n"/>
      <c r="C14" s="25" t="inlineStr">
        <is>
          <t>0-10 scale (not %, same mislabel as SALE-0198)</t>
        </is>
      </c>
      <c r="D14" s="25" t="inlineStr">
        <is>
          <t>DERIVED</t>
        </is>
      </c>
      <c r="E14" s="26" t="inlineStr">
        <is>
          <t>roleAvg = sum(ai_score ?? 0)/roleApplicants.length (same all-applicants-in-denominator pattern as SALE-0198) — hiring.tsx:736-739</t>
        </is>
      </c>
      <c r="F14" s="26" t="inlineStr">
        <is>
          <t>same filtered roleApplicants, .ai_score</t>
        </is>
      </c>
      <c r="G14" s="26" t="inlineStr">
        <is>
          <t>same as SALE-0199</t>
        </is>
      </c>
      <c r="H14" s="27" t="inlineStr">
        <is>
          <t>LIVE</t>
        </is>
      </c>
      <c r="I14" s="28" t="inlineStr">
        <is>
          <t>SALE-0201</t>
        </is>
      </c>
    </row>
    <row r="15" ht="6" customHeight="1"/>
    <row r="16" ht="20" customHeight="1">
      <c r="A16" s="22" t="inlineStr">
        <is>
          <t>KANBAN</t>
        </is>
      </c>
    </row>
    <row r="17" ht="30" customHeight="1">
      <c r="A17" s="29" t="inlineStr">
        <is>
          <t>Applied</t>
        </is>
      </c>
      <c r="B17" s="37" t="n"/>
      <c r="C17" s="31" t="inlineStr">
        <is>
          <t>count</t>
        </is>
      </c>
      <c r="D17" s="31" t="inlineStr">
        <is>
          <t>AGGREGATED</t>
        </is>
      </c>
      <c r="E17" s="32" t="inlineStr">
        <is>
          <t>byStageFor(role) groups `filtered` rows by stage into a Map, one column per STAGES entry — hiring.tsx:351-360</t>
        </is>
      </c>
      <c r="F17" s="32" t="inlineStr">
        <is>
          <t>public.hiring_applicants (org_id uuid not null, RLS org-scoped — migration 20260530225026_....sql).stage='applied'</t>
        </is>
      </c>
      <c r="G17" s="32" t="inlineStr">
        <is>
          <t>respects page's query/regionFilter/rangePreset filters, scoped to the active role tab</t>
        </is>
      </c>
      <c r="H17" s="27" t="inlineStr">
        <is>
          <t>LIVE</t>
        </is>
      </c>
      <c r="I17" s="33" t="inlineStr">
        <is>
          <t>SALE-0202</t>
        </is>
      </c>
    </row>
    <row r="18" ht="30" customHeight="1">
      <c r="A18" s="23" t="inlineStr">
        <is>
          <t>Needs Grading</t>
        </is>
      </c>
      <c r="B18" s="37" t="n"/>
      <c r="C18" s="25" t="inlineStr">
        <is>
          <t>count</t>
        </is>
      </c>
      <c r="D18" s="25" t="inlineStr">
        <is>
          <t>AGGREGATED</t>
        </is>
      </c>
      <c r="E18" s="26" t="inlineStr">
        <is>
          <t>byStageFor(role) groups `filtered` rows by stage into a Map, one column per STAGES entry — hiring.tsx:351-360</t>
        </is>
      </c>
      <c r="F18" s="26" t="inlineStr">
        <is>
          <t>public.hiring_applicants (org_id uuid not null, RLS org-scoped — migration 20260530225026_....sql).stage='needs_grading'</t>
        </is>
      </c>
      <c r="G18" s="26" t="inlineStr">
        <is>
          <t>respects page's query/regionFilter/rangePreset filters, scoped to the active role tab</t>
        </is>
      </c>
      <c r="H18" s="27" t="inlineStr">
        <is>
          <t>LIVE</t>
        </is>
      </c>
      <c r="I18" s="28" t="inlineStr">
        <is>
          <t>SALE-0203</t>
        </is>
      </c>
    </row>
    <row r="19" ht="30" customHeight="1">
      <c r="A19" s="29" t="inlineStr">
        <is>
          <t>Interview Worthy</t>
        </is>
      </c>
      <c r="B19" s="37" t="n"/>
      <c r="C19" s="31" t="inlineStr">
        <is>
          <t>count</t>
        </is>
      </c>
      <c r="D19" s="31" t="inlineStr">
        <is>
          <t>AGGREGATED</t>
        </is>
      </c>
      <c r="E19" s="32" t="inlineStr">
        <is>
          <t>byStageFor(role) groups `filtered` rows by stage into a Map, one column per STAGES entry — hiring.tsx:351-360</t>
        </is>
      </c>
      <c r="F19" s="32" t="inlineStr">
        <is>
          <t>public.hiring_applicants (org_id uuid not null, RLS org-scoped — migration 20260530225026_....sql).stage='interview_worthy'</t>
        </is>
      </c>
      <c r="G19" s="32" t="inlineStr">
        <is>
          <t>respects page's query/regionFilter/rangePreset filters, scoped to the active role tab</t>
        </is>
      </c>
      <c r="H19" s="27" t="inlineStr">
        <is>
          <t>LIVE</t>
        </is>
      </c>
      <c r="I19" s="33" t="inlineStr">
        <is>
          <t>SALE-0204</t>
        </is>
      </c>
    </row>
    <row r="20" ht="30" customHeight="1">
      <c r="A20" s="23" t="inlineStr">
        <is>
          <t>Trial Call</t>
        </is>
      </c>
      <c r="B20" s="37" t="n"/>
      <c r="C20" s="25" t="inlineStr">
        <is>
          <t>count</t>
        </is>
      </c>
      <c r="D20" s="25" t="inlineStr">
        <is>
          <t>AGGREGATED</t>
        </is>
      </c>
      <c r="E20" s="26" t="inlineStr">
        <is>
          <t>byStageFor(role) groups `filtered` rows by stage into a Map, one column per STAGES entry — hiring.tsx:351-360</t>
        </is>
      </c>
      <c r="F20" s="26" t="inlineStr">
        <is>
          <t>public.hiring_applicants (org_id uuid not null, RLS org-scoped — migration 20260530225026_....sql).stage='trial_call'</t>
        </is>
      </c>
      <c r="G20" s="26" t="inlineStr">
        <is>
          <t>respects page's query/regionFilter/rangePreset filters, scoped to the active role tab</t>
        </is>
      </c>
      <c r="H20" s="27" t="inlineStr">
        <is>
          <t>LIVE</t>
        </is>
      </c>
      <c r="I20" s="28" t="inlineStr">
        <is>
          <t>SALE-0205</t>
        </is>
      </c>
    </row>
    <row r="21" ht="30" customHeight="1">
      <c r="A21" s="29" t="inlineStr">
        <is>
          <t>Offer Sent</t>
        </is>
      </c>
      <c r="B21" s="37" t="n"/>
      <c r="C21" s="31" t="inlineStr">
        <is>
          <t>count</t>
        </is>
      </c>
      <c r="D21" s="31" t="inlineStr">
        <is>
          <t>AGGREGATED</t>
        </is>
      </c>
      <c r="E21" s="32" t="inlineStr">
        <is>
          <t>byStageFor(role) groups `filtered` rows by stage into a Map, one column per STAGES entry — hiring.tsx:351-360</t>
        </is>
      </c>
      <c r="F21" s="32" t="inlineStr">
        <is>
          <t>public.hiring_applicants (org_id uuid not null, RLS org-scoped — migration 20260530225026_....sql).stage='offer_sent'</t>
        </is>
      </c>
      <c r="G21" s="32" t="inlineStr">
        <is>
          <t>respects page's query/regionFilter/rangePreset filters, scoped to the active role tab</t>
        </is>
      </c>
      <c r="H21" s="27" t="inlineStr">
        <is>
          <t>LIVE</t>
        </is>
      </c>
      <c r="I21" s="33" t="inlineStr">
        <is>
          <t>SALE-0206</t>
        </is>
      </c>
    </row>
    <row r="22" ht="30" customHeight="1">
      <c r="A22" s="23" t="inlineStr">
        <is>
          <t>Hired</t>
        </is>
      </c>
      <c r="B22" s="37" t="n"/>
      <c r="C22" s="25" t="inlineStr">
        <is>
          <t>count</t>
        </is>
      </c>
      <c r="D22" s="25" t="inlineStr">
        <is>
          <t>AGGREGATED</t>
        </is>
      </c>
      <c r="E22" s="26" t="inlineStr">
        <is>
          <t>byStageFor(role) groups `filtered` rows by stage into a Map, one column per STAGES entry — hiring.tsx:351-360</t>
        </is>
      </c>
      <c r="F22" s="26" t="inlineStr">
        <is>
          <t>public.hiring_applicants (org_id uuid not null, RLS org-scoped — migration 20260530225026_....sql).stage='hired'</t>
        </is>
      </c>
      <c r="G22" s="26" t="inlineStr">
        <is>
          <t>respects page's query/regionFilter/rangePreset filters, scoped to the active role tab</t>
        </is>
      </c>
      <c r="H22" s="27" t="inlineStr">
        <is>
          <t>LIVE</t>
        </is>
      </c>
      <c r="I22" s="28" t="inlineStr">
        <is>
          <t>SALE-0207</t>
        </is>
      </c>
    </row>
    <row r="23" ht="30" customHeight="1">
      <c r="A23" s="29" t="inlineStr">
        <is>
          <t>Rejected</t>
        </is>
      </c>
      <c r="B23" s="37" t="n"/>
      <c r="C23" s="31" t="inlineStr">
        <is>
          <t>count</t>
        </is>
      </c>
      <c r="D23" s="31" t="inlineStr">
        <is>
          <t>AGGREGATED</t>
        </is>
      </c>
      <c r="E23" s="32" t="inlineStr">
        <is>
          <t>byStageFor(role) groups `filtered` rows by stage into a Map, one column per STAGES entry — hiring.tsx:351-360</t>
        </is>
      </c>
      <c r="F23" s="32" t="inlineStr">
        <is>
          <t>public.hiring_applicants (org_id uuid not null, RLS org-scoped — migration 20260530225026_....sql).stage='rejected'</t>
        </is>
      </c>
      <c r="G23" s="32" t="inlineStr">
        <is>
          <t>respects page's query/regionFilter/rangePreset filters, scoped to the active role tab</t>
        </is>
      </c>
      <c r="H23" s="27" t="inlineStr">
        <is>
          <t>LIVE</t>
        </is>
      </c>
      <c r="I23" s="33" t="inlineStr">
        <is>
          <t>SALE-0208</t>
        </is>
      </c>
    </row>
    <row r="24" ht="6" customHeight="1"/>
    <row r="25" ht="20" customHeight="1">
      <c r="A25" s="22" t="inlineStr">
        <is>
          <t>AI EVALUATION</t>
        </is>
      </c>
    </row>
    <row r="26" ht="30" customHeight="1">
      <c r="A26" s="23" t="inlineStr">
        <is>
          <t>Transcript quality</t>
        </is>
      </c>
      <c r="B26" s="24" t="inlineStr">
        <is>
          <t>n/a</t>
        </is>
      </c>
      <c r="C26" s="25" t="inlineStr">
        <is>
          <t>0-10 scale</t>
        </is>
      </c>
      <c r="D26" s="25" t="inlineStr">
        <is>
          <t>OTHER</t>
        </is>
      </c>
      <c r="E26" s="26" t="inlineStr">
        <is>
          <t>AI (Gemini 2.5 Flash via Lovable AI Gateway) scores the Loom transcript 0-10 on clarity/energy/sales-instinct/specificity/coachability/red-flags; score is clamped 0-10 in code (hiring.server.ts:83)</t>
        </is>
      </c>
      <c r="F26" s="26" t="inlineStr">
        <is>
          <t>public.hiring_applicants (org_id uuid not null, RLS org-scoped — migration 20260530225026_....sql).ai_score (0-10, set by src/lib/hiring.server.ts:19-112 (gradeApplicantFromTranscript, via gradeLoomFn — src/lib/hiring.functions.ts:50-78))</t>
        </is>
      </c>
      <c r="G26" s="26" t="inlineStr">
        <is>
          <t>point-in-time (re-graded on demand)</t>
        </is>
      </c>
      <c r="H26" s="38" t="inlineStr">
        <is>
          <t>PARTIALLY CONNECTED</t>
        </is>
      </c>
      <c r="I26" s="28" t="inlineStr">
        <is>
          <t>SALE-0209</t>
        </is>
      </c>
    </row>
    <row r="27" ht="30" customHeight="1">
      <c r="A27" s="29" t="inlineStr">
        <is>
          <t>Flags</t>
        </is>
      </c>
      <c r="B27" s="37" t="n"/>
      <c r="C27" s="31" t="inlineStr">
        <is>
          <t>list of flags (count varies)</t>
        </is>
      </c>
      <c r="D27" s="31" t="inlineStr">
        <is>
          <t>DERIVED</t>
        </is>
      </c>
      <c r="E27" s="32" t="inlineStr">
        <is>
          <t>Rule-based (not AI-generated) flags from real structured columns: score&gt;=7 'Strong'/score&lt;5 'Weak' (ai_score), stated-role-mismatch (ai_stated_role vs role_applied), years_experience&gt;=3, has historical/recent cash-collected figures</t>
        </is>
      </c>
      <c r="F27" s="32" t="inlineStr">
        <is>
          <t>deriveFlags() — src/routes/_authenticated.hiring.tsx:261-286</t>
        </is>
      </c>
      <c r="G27" s="32" t="inlineStr">
        <is>
          <t>point-in-time</t>
        </is>
      </c>
      <c r="H27" s="27" t="inlineStr">
        <is>
          <t>LIVE</t>
        </is>
      </c>
      <c r="I27" s="33" t="inlineStr">
        <is>
          <t>SALE-0210</t>
        </is>
      </c>
    </row>
    <row r="28" ht="30" customHeight="1">
      <c r="A28" s="23" t="inlineStr">
        <is>
          <t>Reasoning</t>
        </is>
      </c>
      <c r="B28" s="24" t="inlineStr">
        <is>
          <t>n/a</t>
        </is>
      </c>
      <c r="C28" s="25" t="inlineStr">
        <is>
          <t>text</t>
        </is>
      </c>
      <c r="D28" s="25" t="inlineStr">
        <is>
          <t>OTHER</t>
        </is>
      </c>
      <c r="E28" s="26" t="inlineStr">
        <is>
          <t>AI-generated one-line pipe-separated quality-signal string (ai_reasoning) and 4-6 sentence summary (ai_transcript_summary) — free text, no formula</t>
        </is>
      </c>
      <c r="F28" s="26" t="inlineStr">
        <is>
          <t>public.hiring_applicants (org_id uuid not null, RLS org-scoped — migration 20260530225026_....sql).ai_reasoning (text) + ai_transcript_summary (text), both set by src/lib/hiring.server.ts:19-112 (gradeApplicantFromTranscript, via gradeLoomFn — src/lib/hiring.functions.ts:50-78)</t>
        </is>
      </c>
      <c r="G28" s="26" t="inlineStr">
        <is>
          <t>point-in-time</t>
        </is>
      </c>
      <c r="H28" s="38" t="inlineStr">
        <is>
          <t>PARTIALLY CONNECTED</t>
        </is>
      </c>
      <c r="I28" s="28" t="inlineStr">
        <is>
          <t>SALE-0211</t>
        </is>
      </c>
    </row>
    <row r="29" ht="6" customHeight="1"/>
  </sheetData>
  <autoFilter ref="A4:I28"/>
  <mergeCells count="4">
    <mergeCell ref="A5:I5"/>
    <mergeCell ref="A16:I16"/>
    <mergeCell ref="A11:I11"/>
    <mergeCell ref="A25:I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Attribution</t>
        </is>
      </c>
    </row>
    <row r="2">
      <c r="A2" s="21" t="inlineStr">
        <is>
          <t>34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OVERVIEW</t>
        </is>
      </c>
    </row>
    <row r="6" ht="30" customHeight="1">
      <c r="A6" s="23" t="inlineStr">
        <is>
          <t>Total Leads</t>
        </is>
      </c>
      <c r="B6" s="37" t="n"/>
      <c r="C6" s="25" t="inlineStr">
        <is>
          <t>count</t>
        </is>
      </c>
      <c r="D6" s="25" t="inlineStr">
        <is>
          <t>RAW</t>
        </is>
      </c>
      <c r="E6" s="26" t="inlineStr">
        <is>
          <t>COUNT(leads) WHERE org_id=? AND created_at BETWEEN range.from AND range.to</t>
        </is>
      </c>
      <c r="F6" s="26" t="inlineStr">
        <is>
          <t>leads table, count of rows. src/routes/_authenticated.attribution.tsx:459 (data?.leadRows.length ?? 0); query at lines 203-210 supabase.from('leads').select(...).eq('org_id',orgId!).gte('created_at',fromISO).lte('created_at',toISO)</t>
        </is>
      </c>
      <c r="G6" s="26" t="inlineStr">
        <is>
          <t>range.from 00:00:00 to range.to 23:59:59 (date-range picker)</t>
        </is>
      </c>
      <c r="H6" s="27" t="inlineStr">
        <is>
          <t>LIVE</t>
        </is>
      </c>
      <c r="I6" s="28" t="inlineStr">
        <is>
          <t>SALE-0212</t>
        </is>
      </c>
    </row>
    <row r="7" ht="30" customHeight="1">
      <c r="A7" s="29" t="inlineStr">
        <is>
          <t>Booked Calls</t>
        </is>
      </c>
      <c r="B7" s="37" t="n"/>
      <c r="C7" s="31" t="inlineStr">
        <is>
          <t>count</t>
        </is>
      </c>
      <c r="D7" s="31" t="inlineStr">
        <is>
          <t>RAW</t>
        </is>
      </c>
      <c r="E7" s="32" t="inlineStr">
        <is>
          <t>COUNT(calls) WHERE org_id=? AND created_at BETWEEN range</t>
        </is>
      </c>
      <c r="F7" s="32" t="inlineStr">
        <is>
          <t>calls table, count of rows. attribution.tsx:466 (data?.callRows.length ?? 0); query lines 211-218 .from('calls').select(...).eq('org_id',orgId!).gte/.lte(created_at, range)</t>
        </is>
      </c>
      <c r="G7" s="32" t="inlineStr">
        <is>
          <t>range.from-range.to</t>
        </is>
      </c>
      <c r="H7" s="27" t="inlineStr">
        <is>
          <t>LIVE</t>
        </is>
      </c>
      <c r="I7" s="33" t="inlineStr">
        <is>
          <t>SALE-0213</t>
        </is>
      </c>
    </row>
    <row r="8" ht="30" customHeight="1">
      <c r="A8" s="23" t="inlineStr">
        <is>
          <t>Shows</t>
        </is>
      </c>
      <c r="B8" s="37" t="n"/>
      <c r="C8" s="25" t="inlineStr">
        <is>
          <t>count</t>
        </is>
      </c>
      <c r="D8" s="25" t="inlineStr">
        <is>
          <t>RAW</t>
        </is>
      </c>
      <c r="E8" s="26" t="inlineStr">
        <is>
          <t>COUNT(calls) WHERE org_id=? AND created_at BETWEEN range AND showed=true</t>
        </is>
      </c>
      <c r="F8" s="26" t="inlineStr">
        <is>
          <t>calls.showed boolean. attribution.tsx:472 data?.callRows.filter(c =&gt; c.showed).length</t>
        </is>
      </c>
      <c r="G8" s="26" t="inlineStr">
        <is>
          <t>range.from-range.to</t>
        </is>
      </c>
      <c r="H8" s="27" t="inlineStr">
        <is>
          <t>LIVE</t>
        </is>
      </c>
      <c r="I8" s="28" t="inlineStr">
        <is>
          <t>SALE-0214</t>
        </is>
      </c>
    </row>
    <row r="9" ht="30" customHeight="1">
      <c r="A9" s="29" t="inlineStr">
        <is>
          <t>Closes</t>
        </is>
      </c>
      <c r="B9" s="37" t="n"/>
      <c r="C9" s="31" t="inlineStr">
        <is>
          <t>count</t>
        </is>
      </c>
      <c r="D9" s="31" t="inlineStr">
        <is>
          <t>RAW</t>
        </is>
      </c>
      <c r="E9" s="32" t="inlineStr">
        <is>
          <t>COUNT(calls) WHERE org_id=? AND created_at BETWEEN range AND closed=true</t>
        </is>
      </c>
      <c r="F9" s="32" t="inlineStr">
        <is>
          <t>calls.closed boolean, via closedRows = callRows.filter(c=&gt;c.closed). attribution.tsx:256,479</t>
        </is>
      </c>
      <c r="G9" s="32" t="inlineStr">
        <is>
          <t>range.from-range.to</t>
        </is>
      </c>
      <c r="H9" s="27" t="inlineStr">
        <is>
          <t>LIVE</t>
        </is>
      </c>
      <c r="I9" s="33" t="inlineStr">
        <is>
          <t>SALE-0215</t>
        </is>
      </c>
    </row>
    <row r="10" ht="30" customHeight="1">
      <c r="A10" s="23" t="inlineStr">
        <is>
          <t>Revenue Generated</t>
        </is>
      </c>
      <c r="B10" s="34" t="n"/>
      <c r="C10" s="25" t="inlineStr">
        <is>
          <t>$ (currency-formatted)</t>
        </is>
      </c>
      <c r="D10" s="25" t="inlineStr">
        <is>
          <t>DERIVED (sum)</t>
        </is>
      </c>
      <c r="E10" s="26" t="inlineStr">
        <is>
          <t>SUM(calls.contract_value_cents) WHERE closed=true AND org_id=? AND created_at BETWEEN range</t>
        </is>
      </c>
      <c r="F10" s="26" t="inlineStr">
        <is>
          <t>calls.contract_value_cents summed over closedRows. attribution.tsx:421-424 totalContractCents = (data?.closedRows ?? []).reduce((s,c)=&gt;s+(c.contract_value_cents ?? 0),0); rendered via money() at line 485</t>
        </is>
      </c>
      <c r="G10" s="26" t="inlineStr">
        <is>
          <t>range.from-range.to</t>
        </is>
      </c>
      <c r="H10" s="27" t="inlineStr">
        <is>
          <t>LIVE</t>
        </is>
      </c>
      <c r="I10" s="28" t="inlineStr">
        <is>
          <t>SALE-0216</t>
        </is>
      </c>
    </row>
    <row r="11" ht="30" customHeight="1">
      <c r="A11" s="29" t="inlineStr">
        <is>
          <t>Cash Collected</t>
        </is>
      </c>
      <c r="B11" s="34" t="n"/>
      <c r="C11" s="31" t="inlineStr">
        <is>
          <t>$</t>
        </is>
      </c>
      <c r="D11" s="31" t="inlineStr">
        <is>
          <t>DERIVED (sum)</t>
        </is>
      </c>
      <c r="E11" s="32" t="inlineStr">
        <is>
          <t>SUM(calls.cash_collected_cents) WHERE closed=true AND org_id=? AND created_at BETWEEN range</t>
        </is>
      </c>
      <c r="F11" s="32" t="inlineStr">
        <is>
          <t>calls.cash_collected_cents summed over closedRows. attribution.tsx:417-420,492</t>
        </is>
      </c>
      <c r="G11" s="32" t="inlineStr">
        <is>
          <t>range.from-range.to</t>
        </is>
      </c>
      <c r="H11" s="27" t="inlineStr">
        <is>
          <t>LIVE</t>
        </is>
      </c>
      <c r="I11" s="33" t="inlineStr">
        <is>
          <t>SALE-0217</t>
        </is>
      </c>
    </row>
    <row r="12" ht="30" customHeight="1">
      <c r="A12" s="23" t="inlineStr">
        <is>
          <t>Attributed Cash</t>
        </is>
      </c>
      <c r="B12" s="34" t="n"/>
      <c r="C12" s="25" t="inlineStr">
        <is>
          <t>$</t>
        </is>
      </c>
      <c r="D12" s="25" t="inlineStr">
        <is>
          <t>DERIVED</t>
        </is>
      </c>
      <c r="E12" s="26" t="inlineStr">
        <is>
          <t>SUM(cash_collected_cents) for closed calls whose id appears in the CURRENTLY SELECTED attribution model's output paths</t>
        </is>
      </c>
      <c r="F12" s="26" t="inlineStr">
        <is>
          <t>attribution.tsx:425-431: attributedCallIds = Set of currentPaths[].callId (currentPaths = data.pathsByModel[model], default model='first_touch'); attributedCashCents = SUM(closedRows.cash_collected_cents) WHERE call.id IN attributedCallIds</t>
        </is>
      </c>
      <c r="G12" s="26" t="inlineStr">
        <is>
          <t>range.from-range.to</t>
        </is>
      </c>
      <c r="H12" s="27" t="inlineStr">
        <is>
          <t>LIVE</t>
        </is>
      </c>
      <c r="I12" s="28" t="inlineStr">
        <is>
          <t>SALE-0218</t>
        </is>
      </c>
    </row>
    <row r="13" ht="30" customHeight="1">
      <c r="A13" s="29" t="inlineStr">
        <is>
          <t>Unattributed Cash</t>
        </is>
      </c>
      <c r="B13" s="34" t="n"/>
      <c r="C13" s="31" t="inlineStr">
        <is>
          <t>$</t>
        </is>
      </c>
      <c r="D13" s="31" t="inlineStr">
        <is>
          <t>DERIVED</t>
        </is>
      </c>
      <c r="E13" s="32" t="inlineStr">
        <is>
          <t>totalCashCents (SALE-0217) minus attributedCashCents (SALE-0218), floored at 0</t>
        </is>
      </c>
      <c r="F13" s="32" t="inlineStr">
        <is>
          <t>attribution.tsx:432 unattributedCashCents = Math.max(0, totalCashCents - attributedCashCents)</t>
        </is>
      </c>
      <c r="G13" s="32" t="inlineStr">
        <is>
          <t>range.from-range.to</t>
        </is>
      </c>
      <c r="H13" s="27" t="inlineStr">
        <is>
          <t>LIVE</t>
        </is>
      </c>
      <c r="I13" s="33" t="inlineStr">
        <is>
          <t>SALE-0219</t>
        </is>
      </c>
    </row>
    <row r="14" ht="30" customHeight="1">
      <c r="A14" s="23" t="inlineStr">
        <is>
          <t>Organic Cash</t>
        </is>
      </c>
      <c r="B14" s="34" t="n"/>
      <c r="C14" s="25" t="inlineStr">
        <is>
          <t>$</t>
        </is>
      </c>
      <c r="D14" s="25" t="inlineStr">
        <is>
          <t>DERIVED</t>
        </is>
      </c>
      <c r="E14" s="26" t="inlineStr">
        <is>
          <t>SUM(cash_collected_cents) for closed calls whose lead's traffic_sources.category normalizes to 'Direct / Organic' via src/lib/acquisition-source.ts:70-71</t>
        </is>
      </c>
      <c r="F14" s="26" t="inlineStr">
        <is>
          <t>attribution.tsx:434-442,450: buckets cash by normalizeAcquisitionSource(callSourceCategory[callId]) where callSourceCategory[c.id] = trafficCategoryByLeadId[c.lead_id] (lead.traffic_source_id -&gt; traffic_sources.category). organicCash = cashByAcquisitionSource['Direct / Organic']</t>
        </is>
      </c>
      <c r="G14" s="26" t="inlineStr">
        <is>
          <t>range.from-range.to</t>
        </is>
      </c>
      <c r="H14" s="27" t="inlineStr">
        <is>
          <t>LIVE</t>
        </is>
      </c>
      <c r="I14" s="28" t="inlineStr">
        <is>
          <t>SALE-0220</t>
        </is>
      </c>
    </row>
    <row r="15" ht="30" customHeight="1">
      <c r="A15" s="29" t="inlineStr">
        <is>
          <t>Paid Cash</t>
        </is>
      </c>
      <c r="B15" s="34" t="n"/>
      <c r="C15" s="31" t="inlineStr">
        <is>
          <t>$</t>
        </is>
      </c>
      <c r="D15" s="31" t="inlineStr">
        <is>
          <t>DERIVED</t>
        </is>
      </c>
      <c r="E15" s="32" t="inlineStr">
        <is>
          <t>SUM(cash_collected_cents) for closed calls whose lead's traffic_sources.category normalizes to 'Meta Ads' OR 'Google'</t>
        </is>
      </c>
      <c r="F15" s="32" t="inlineStr">
        <is>
          <t>attribution.tsx:452-453: paidCash = cashByAcquisitionSource['Meta Ads'] + cashByAcquisitionSource['Google']</t>
        </is>
      </c>
      <c r="G15" s="32" t="inlineStr">
        <is>
          <t>range.from-range.to</t>
        </is>
      </c>
      <c r="H15" s="27" t="inlineStr">
        <is>
          <t>LIVE</t>
        </is>
      </c>
      <c r="I15" s="33" t="inlineStr">
        <is>
          <t>SALE-0221</t>
        </is>
      </c>
    </row>
    <row r="16" ht="30" customHeight="1">
      <c r="A16" s="23" t="inlineStr">
        <is>
          <t>Referral Cash</t>
        </is>
      </c>
      <c r="B16" s="34" t="n"/>
      <c r="C16" s="25" t="inlineStr">
        <is>
          <t>$</t>
        </is>
      </c>
      <c r="D16" s="25" t="inlineStr">
        <is>
          <t>DERIVED</t>
        </is>
      </c>
      <c r="E16" s="26" t="inlineStr">
        <is>
          <t>SUM(cash_collected_cents) for closed calls whose lead's traffic_sources.category normalizes to 'Referral / Partner'</t>
        </is>
      </c>
      <c r="F16" s="26" t="inlineStr">
        <is>
          <t>attribution.tsx:451: referralCash = cashByAcquisitionSource['Referral / Partner']</t>
        </is>
      </c>
      <c r="G16" s="26" t="inlineStr">
        <is>
          <t>range.from-range.to</t>
        </is>
      </c>
      <c r="H16" s="27" t="inlineStr">
        <is>
          <t>LIVE</t>
        </is>
      </c>
      <c r="I16" s="28" t="inlineStr">
        <is>
          <t>SALE-0222</t>
        </is>
      </c>
    </row>
    <row r="17" ht="6" customHeight="1"/>
    <row r="18" ht="20" customHeight="1">
      <c r="A18" s="22" t="inlineStr">
        <is>
          <t>ATTRIBUTION FLOW (SANKEY)</t>
        </is>
      </c>
    </row>
    <row r="19" ht="30" customHeight="1">
      <c r="A19" s="29" t="inlineStr">
        <is>
          <t>Cash Collected</t>
        </is>
      </c>
      <c r="B19" s="34" t="n"/>
      <c r="C19" s="31" t="inlineStr">
        <is>
          <t>$</t>
        </is>
      </c>
      <c r="D19" s="31" t="inlineStr">
        <is>
          <t>DERIVED (sum)</t>
        </is>
      </c>
      <c r="E19" s="32" t="inlineStr">
        <is>
          <t>SUM(cash_collected_cents) only for calls that (a) have a resolvable path under the selected model AND (b) pass active platform/source/setter/closer filters AND (c) have cash&gt;0</t>
        </is>
      </c>
      <c r="F19" s="32" t="inlineStr">
        <is>
          <t>attribution.tsx:526-587 sankeyData built from filteredPaths (currentPaths for selected model, further narrowed by platform/source/setter/closer filters) x data.callCashById</t>
        </is>
      </c>
      <c r="G19" s="32" t="inlineStr">
        <is>
          <t>range.from-range.to</t>
        </is>
      </c>
      <c r="H19" s="27" t="inlineStr">
        <is>
          <t>LIVE</t>
        </is>
      </c>
      <c r="I19" s="33" t="inlineStr">
        <is>
          <t>SALE-0223</t>
        </is>
      </c>
    </row>
    <row r="20" ht="30" customHeight="1">
      <c r="A20" s="23" t="inlineStr">
        <is>
          <t>per-platform/rep/closer flow</t>
        </is>
      </c>
      <c r="B20" s="37" t="n"/>
      <c r="C20" s="25" t="inlineStr">
        <is>
          <t>count (nodes) / $ (link weights)</t>
        </is>
      </c>
      <c r="D20" s="25" t="inlineStr">
        <is>
          <t>DERIVED (categorical aggregation)</t>
        </is>
      </c>
      <c r="E20" s="26" t="inlineStr">
        <is>
          <t>Link value = SUM(cash_collected_cents) grouped by (platform,rep,closer) triple for calls passing the current model+filters</t>
        </is>
      </c>
      <c r="F20" s="26" t="inlineStr">
        <is>
          <t>attribution.tsx:526-587 - 3-stage Sankey: Platform -&gt; Setter/Dialer -&gt; Closer -&gt; Cash. Platform via platformByContentId[contentId] (normalizeSocialPlatform(content_pieces.platform, content_pieces.source_platform), attribution.tsx:258-269). Rep names via profiles.display_name (attribution.tsx:249-...</t>
        </is>
      </c>
      <c r="G20" s="26" t="inlineStr">
        <is>
          <t>range.from-range.to</t>
        </is>
      </c>
      <c r="H20" s="27" t="inlineStr">
        <is>
          <t>LIVE</t>
        </is>
      </c>
      <c r="I20" s="28" t="inlineStr">
        <is>
          <t>SALE-0224</t>
        </is>
      </c>
    </row>
    <row r="21" ht="6" customHeight="1"/>
    <row r="22" ht="20" customHeight="1">
      <c r="A22" s="22" t="inlineStr">
        <is>
          <t>TOP CUSTOMER JOURNEYS</t>
        </is>
      </c>
    </row>
    <row r="23" ht="30" customHeight="1">
      <c r="A23" s="29" t="inlineStr">
        <is>
          <t>Platform</t>
        </is>
      </c>
      <c r="B23" s="30" t="inlineStr">
        <is>
          <t>n/a</t>
        </is>
      </c>
      <c r="C23" s="31" t="inlineStr">
        <is>
          <t>text (categorical)</t>
        </is>
      </c>
      <c r="D23" s="31" t="inlineStr">
        <is>
          <t>DIMENSION</t>
        </is>
      </c>
      <c r="E23" s="32" t="inlineStr">
        <is>
          <t>Grouping key - content_pieces platform resolved per journey's representative path</t>
        </is>
      </c>
      <c r="F23" s="32" t="inlineStr">
        <is>
          <t>identifyTopAttributionJourneys() src/lib/content-attribution.ts:302-354, resolved via platformByContentId map (content_pieces.platform/source_platform)</t>
        </is>
      </c>
      <c r="G23" s="32" t="inlineStr">
        <is>
          <t>range.from-range.to</t>
        </is>
      </c>
      <c r="H23" s="27" t="inlineStr">
        <is>
          <t>LIVE</t>
        </is>
      </c>
      <c r="I23" s="33" t="inlineStr">
        <is>
          <t>SALE-0225</t>
        </is>
      </c>
    </row>
    <row r="24" ht="30" customHeight="1">
      <c r="A24" s="23" t="inlineStr">
        <is>
          <t>Acquisition Source</t>
        </is>
      </c>
      <c r="B24" s="24" t="inlineStr">
        <is>
          <t>n/a</t>
        </is>
      </c>
      <c r="C24" s="25" t="inlineStr">
        <is>
          <t>text (categorical)</t>
        </is>
      </c>
      <c r="D24" s="25" t="inlineStr">
        <is>
          <t>DIMENSION</t>
        </is>
      </c>
      <c r="E24" s="26" t="inlineStr">
        <is>
          <t>Grouping key - lead.traffic_source_id -&gt; traffic_sources.category -&gt; normalizeAcquisitionSource()</t>
        </is>
      </c>
      <c r="F24" s="26" t="inlineStr">
        <is>
          <t>content-attribution.ts:302-354, path.source populated by normalizeAcquisitionSource(callSourceCategory) at attribution.tsx:374 (via resolvedPaths)</t>
        </is>
      </c>
      <c r="G24" s="26" t="inlineStr">
        <is>
          <t>range.from-range.to</t>
        </is>
      </c>
      <c r="H24" s="27" t="inlineStr">
        <is>
          <t>LIVE</t>
        </is>
      </c>
      <c r="I24" s="28" t="inlineStr">
        <is>
          <t>SALE-0226</t>
        </is>
      </c>
    </row>
    <row r="25" ht="30" customHeight="1">
      <c r="A25" s="29" t="inlineStr">
        <is>
          <t>Rep</t>
        </is>
      </c>
      <c r="B25" s="30" t="inlineStr">
        <is>
          <t>n/a</t>
        </is>
      </c>
      <c r="C25" s="31" t="inlineStr">
        <is>
          <t>text</t>
        </is>
      </c>
      <c r="D25" s="31" t="inlineStr">
        <is>
          <t>DIMENSION</t>
        </is>
      </c>
      <c r="E25" s="32" t="inlineStr">
        <is>
          <t>Grouping key</t>
        </is>
      </c>
      <c r="F25" s="32" t="inlineStr">
        <is>
          <t>content-attribution.ts:302-354, meta.setterId ?? meta.dialerId from callMetaById (both = calls.setter_id, attribution.tsx:333-334); resolved to name via repNameById (profiles.display_name)</t>
        </is>
      </c>
      <c r="G25" s="32" t="inlineStr">
        <is>
          <t>range.from-range.to</t>
        </is>
      </c>
      <c r="H25" s="27" t="inlineStr">
        <is>
          <t>LIVE</t>
        </is>
      </c>
      <c r="I25" s="33" t="inlineStr">
        <is>
          <t>SALE-0227</t>
        </is>
      </c>
    </row>
    <row r="26" ht="30" customHeight="1">
      <c r="A26" s="23" t="inlineStr">
        <is>
          <t>Closer</t>
        </is>
      </c>
      <c r="B26" s="24" t="inlineStr">
        <is>
          <t>n/a</t>
        </is>
      </c>
      <c r="C26" s="25" t="inlineStr">
        <is>
          <t>text</t>
        </is>
      </c>
      <c r="D26" s="25" t="inlineStr">
        <is>
          <t>DIMENSION</t>
        </is>
      </c>
      <c r="E26" s="26" t="inlineStr">
        <is>
          <t>Grouping key</t>
        </is>
      </c>
      <c r="F26" s="26" t="inlineStr">
        <is>
          <t>content-attribution.ts:302-354, meta.closerId = calls.closer_id, resolved via profiles.display_name</t>
        </is>
      </c>
      <c r="G26" s="26" t="inlineStr">
        <is>
          <t>range.from-range.to</t>
        </is>
      </c>
      <c r="H26" s="27" t="inlineStr">
        <is>
          <t>LIVE</t>
        </is>
      </c>
      <c r="I26" s="28" t="inlineStr">
        <is>
          <t>SALE-0228</t>
        </is>
      </c>
    </row>
    <row r="27" ht="30" customHeight="1">
      <c r="A27" s="29" t="inlineStr">
        <is>
          <t>Offer</t>
        </is>
      </c>
      <c r="B27" s="30" t="inlineStr">
        <is>
          <t>n/a</t>
        </is>
      </c>
      <c r="C27" s="31" t="inlineStr">
        <is>
          <t>text</t>
        </is>
      </c>
      <c r="D27" s="31" t="inlineStr">
        <is>
          <t>DIMENSION</t>
        </is>
      </c>
      <c r="E27" s="32" t="inlineStr">
        <is>
          <t>clients.offer_name WHERE clients.lead_id = call.lead_id (left join - null when no client record exists yet)</t>
        </is>
      </c>
      <c r="F27" s="32" t="inlineStr">
        <is>
          <t>path.offerId, sourced from clients.offer_name for the call's lead_id (offerNameByLeadId map, attribution.tsx:190,238-240,295) - threaded through buildCanonicalLifecycleAttributionPath as offerId</t>
        </is>
      </c>
      <c r="G27" s="32" t="inlineStr">
        <is>
          <t>range.from-range.to</t>
        </is>
      </c>
      <c r="H27" s="27" t="inlineStr">
        <is>
          <t>LIVE</t>
        </is>
      </c>
      <c r="I27" s="33" t="inlineStr">
        <is>
          <t>SALE-0229</t>
        </is>
      </c>
    </row>
    <row r="28" ht="30" customHeight="1">
      <c r="A28" s="23" t="inlineStr">
        <is>
          <t>Calls</t>
        </is>
      </c>
      <c r="B28" s="37" t="n"/>
      <c r="C28" s="25" t="inlineStr">
        <is>
          <t>count</t>
        </is>
      </c>
      <c r="D28" s="25" t="inlineStr">
        <is>
          <t>RAW (count, grouped)</t>
        </is>
      </c>
      <c r="E28" s="26" t="inlineStr">
        <is>
          <t>COUNT(calls) grouped by (platform,source,rep,closer,offer) for the selected model's paths</t>
        </is>
      </c>
      <c r="F28" s="26" t="inlineStr">
        <is>
          <t>content-attribution.ts:346 cur.callCount += 1 per journey group</t>
        </is>
      </c>
      <c r="G28" s="26" t="inlineStr">
        <is>
          <t>range.from-range.to</t>
        </is>
      </c>
      <c r="H28" s="27" t="inlineStr">
        <is>
          <t>LIVE</t>
        </is>
      </c>
      <c r="I28" s="28" t="inlineStr">
        <is>
          <t>SALE-0230</t>
        </is>
      </c>
    </row>
    <row r="29" ht="30" customHeight="1">
      <c r="A29" s="29" t="inlineStr">
        <is>
          <t>Revenue</t>
        </is>
      </c>
      <c r="B29" s="34" t="n"/>
      <c r="C29" s="31" t="inlineStr">
        <is>
          <t>$</t>
        </is>
      </c>
      <c r="D29" s="31" t="inlineStr">
        <is>
          <t>DERIVED (sum, grouped)</t>
        </is>
      </c>
      <c r="E29" s="32" t="inlineStr">
        <is>
          <t>SUM(calls.contract_value_cents) grouped by journey key</t>
        </is>
      </c>
      <c r="F29" s="32" t="inlineStr">
        <is>
          <t>content-attribution.ts:347 cur.contractValueCents += meta.contractValueCents</t>
        </is>
      </c>
      <c r="G29" s="32" t="inlineStr">
        <is>
          <t>range.from-range.to</t>
        </is>
      </c>
      <c r="H29" s="27" t="inlineStr">
        <is>
          <t>LIVE</t>
        </is>
      </c>
      <c r="I29" s="33" t="inlineStr">
        <is>
          <t>SALE-0231</t>
        </is>
      </c>
    </row>
    <row r="30" ht="30" customHeight="1">
      <c r="A30" s="23" t="inlineStr">
        <is>
          <t>Cash</t>
        </is>
      </c>
      <c r="B30" s="34" t="n"/>
      <c r="C30" s="25" t="inlineStr">
        <is>
          <t>$</t>
        </is>
      </c>
      <c r="D30" s="25" t="inlineStr">
        <is>
          <t>DERIVED (sum, grouped)</t>
        </is>
      </c>
      <c r="E30" s="26" t="inlineStr">
        <is>
          <t>SUM(calls.cash_collected_cents) grouped by journey key</t>
        </is>
      </c>
      <c r="F30" s="26" t="inlineStr">
        <is>
          <t>content-attribution.ts:347 cur.cashCents += meta.cashCents</t>
        </is>
      </c>
      <c r="G30" s="26" t="inlineStr">
        <is>
          <t>range.from-range.to</t>
        </is>
      </c>
      <c r="H30" s="27" t="inlineStr">
        <is>
          <t>LIVE</t>
        </is>
      </c>
      <c r="I30" s="28" t="inlineStr">
        <is>
          <t>SALE-0232</t>
        </is>
      </c>
    </row>
    <row r="31" ht="30" customHeight="1">
      <c r="A31" s="29" t="inlineStr">
        <is>
          <t>Collection Rate</t>
        </is>
      </c>
      <c r="B31" s="35">
        <f>IF(N(B10)=0,"",B11/B10)</f>
        <v/>
      </c>
      <c r="C31" s="31" t="inlineStr">
        <is>
          <t>%</t>
        </is>
      </c>
      <c r="D31" s="31" t="inlineStr">
        <is>
          <t>DERIVED (ratio)</t>
        </is>
      </c>
      <c r="E31" s="32" t="inlineStr">
        <is>
          <t>cashCents / contractValueCents * 100 per journey row (em-dash when contractValueCents is 0)</t>
        </is>
      </c>
      <c r="F31" s="32" t="inlineStr">
        <is>
          <t>attribution.tsx:936-939 r.contractValueCents &gt; 0 ? Math.round((r.cashCents / r.contractValueCents) * 100) : em-dash</t>
        </is>
      </c>
      <c r="G31" s="32" t="inlineStr">
        <is>
          <t>range.from-range.to</t>
        </is>
      </c>
      <c r="H31" s="27" t="inlineStr">
        <is>
          <t>LIVE</t>
        </is>
      </c>
      <c r="I31" s="33" t="inlineStr">
        <is>
          <t>SALE-0233</t>
        </is>
      </c>
    </row>
    <row r="32" ht="6" customHeight="1"/>
    <row r="33" ht="20" customHeight="1">
      <c r="A33" s="22" t="inlineStr">
        <is>
          <t>DETAILED RECORDS</t>
        </is>
      </c>
    </row>
    <row r="34" ht="30" customHeight="1">
      <c r="A34" s="23" t="inlineStr">
        <is>
          <t>Content</t>
        </is>
      </c>
      <c r="B34" s="24" t="inlineStr">
        <is>
          <t>n/a</t>
        </is>
      </c>
      <c r="C34" s="25" t="inlineStr">
        <is>
          <t>text</t>
        </is>
      </c>
      <c r="D34" s="25" t="inlineStr">
        <is>
          <t>DIMENSION</t>
        </is>
      </c>
      <c r="E34" s="26" t="inlineStr">
        <is>
          <t>content_pieces.title WHERE id = path.contentId; falls back to literal string 'Unattributed'</t>
        </is>
      </c>
      <c r="F34" s="26" t="inlineStr">
        <is>
          <t>attribution.tsx:1011-1013, titleByContentId[path.contentId] (content_pieces.title) or literal 'Unattributed' when path.contentId is null</t>
        </is>
      </c>
      <c r="G34" s="26" t="inlineStr">
        <is>
          <t>range.from-range.to</t>
        </is>
      </c>
      <c r="H34" s="27" t="inlineStr">
        <is>
          <t>LIVE</t>
        </is>
      </c>
      <c r="I34" s="28" t="inlineStr">
        <is>
          <t>SALE-0234</t>
        </is>
      </c>
    </row>
    <row r="35" ht="30" customHeight="1">
      <c r="A35" s="29" t="inlineStr">
        <is>
          <t>Platform</t>
        </is>
      </c>
      <c r="B35" s="30" t="inlineStr">
        <is>
          <t>n/a</t>
        </is>
      </c>
      <c r="C35" s="31" t="inlineStr">
        <is>
          <t>text</t>
        </is>
      </c>
      <c r="D35" s="31" t="inlineStr">
        <is>
          <t>DIMENSION</t>
        </is>
      </c>
      <c r="E35" s="32" t="inlineStr">
        <is>
          <t>content_pieces.platform/source_platform -&gt; normalizeSocialPlatform()</t>
        </is>
      </c>
      <c r="F35" s="32" t="inlineStr">
        <is>
          <t>attribution.tsx:1020 r.platform resolved earlier via platformByContentId</t>
        </is>
      </c>
      <c r="G35" s="32" t="inlineStr">
        <is>
          <t>range.from-range.to</t>
        </is>
      </c>
      <c r="H35" s="27" t="inlineStr">
        <is>
          <t>LIVE</t>
        </is>
      </c>
      <c r="I35" s="33" t="inlineStr">
        <is>
          <t>SALE-0235</t>
        </is>
      </c>
    </row>
    <row r="36" ht="30" customHeight="1">
      <c r="A36" s="23" t="inlineStr">
        <is>
          <t>Rep</t>
        </is>
      </c>
      <c r="B36" s="24" t="inlineStr">
        <is>
          <t>n/a</t>
        </is>
      </c>
      <c r="C36" s="25" t="inlineStr">
        <is>
          <t>text</t>
        </is>
      </c>
      <c r="D36" s="25" t="inlineStr">
        <is>
          <t>DIMENSION</t>
        </is>
      </c>
      <c r="E36" s="26" t="inlineStr">
        <is>
          <t>calls.setter_id JOIN profiles.display_name</t>
        </is>
      </c>
      <c r="F36" s="26" t="inlineStr">
        <is>
          <t>attribution.tsx:1021 repLabel(r.setterId) (calls.setter_id -&gt; profiles.display_name)</t>
        </is>
      </c>
      <c r="G36" s="26" t="inlineStr">
        <is>
          <t>range.from-range.to</t>
        </is>
      </c>
      <c r="H36" s="27" t="inlineStr">
        <is>
          <t>LIVE</t>
        </is>
      </c>
      <c r="I36" s="28" t="inlineStr">
        <is>
          <t>SALE-0236</t>
        </is>
      </c>
    </row>
    <row r="37" ht="30" customHeight="1">
      <c r="A37" s="29" t="inlineStr">
        <is>
          <t>Closer</t>
        </is>
      </c>
      <c r="B37" s="30" t="inlineStr">
        <is>
          <t>n/a</t>
        </is>
      </c>
      <c r="C37" s="31" t="inlineStr">
        <is>
          <t>text</t>
        </is>
      </c>
      <c r="D37" s="31" t="inlineStr">
        <is>
          <t>DIMENSION</t>
        </is>
      </c>
      <c r="E37" s="32" t="inlineStr">
        <is>
          <t>calls.closer_id JOIN profiles.display_name</t>
        </is>
      </c>
      <c r="F37" s="32" t="inlineStr">
        <is>
          <t>attribution.tsx:1022 repLabel(r.closerId)</t>
        </is>
      </c>
      <c r="G37" s="32" t="inlineStr">
        <is>
          <t>range.from-range.to</t>
        </is>
      </c>
      <c r="H37" s="27" t="inlineStr">
        <is>
          <t>LIVE</t>
        </is>
      </c>
      <c r="I37" s="33" t="inlineStr">
        <is>
          <t>SALE-0237</t>
        </is>
      </c>
    </row>
    <row r="38" ht="30" customHeight="1">
      <c r="A38" s="23" t="inlineStr">
        <is>
          <t>Cash</t>
        </is>
      </c>
      <c r="B38" s="34" t="n"/>
      <c r="C38" s="25" t="inlineStr">
        <is>
          <t>$</t>
        </is>
      </c>
      <c r="D38" s="25" t="inlineStr">
        <is>
          <t>RAW</t>
        </is>
      </c>
      <c r="E38" s="26" t="inlineStr">
        <is>
          <t>calls.cash_collected_cents for this row's callId</t>
        </is>
      </c>
      <c r="F38" s="26" t="inlineStr">
        <is>
          <t>attribution.tsx:1024 data?.callCashById[r.path.callId]</t>
        </is>
      </c>
      <c r="G38" s="26" t="inlineStr">
        <is>
          <t>range.from-range.to</t>
        </is>
      </c>
      <c r="H38" s="27" t="inlineStr">
        <is>
          <t>LIVE</t>
        </is>
      </c>
      <c r="I38" s="28" t="inlineStr">
        <is>
          <t>SALE-0238</t>
        </is>
      </c>
    </row>
    <row r="39" ht="30" customHeight="1">
      <c r="A39" s="29" t="inlineStr">
        <is>
          <t>Coverage</t>
        </is>
      </c>
      <c r="B39" s="30" t="inlineStr">
        <is>
          <t>n/a</t>
        </is>
      </c>
      <c r="C39" s="31" t="inlineStr">
        <is>
          <t>enum: direct/partial/inferred/unavailable (given sheet's type=RAW,unit=count is WRONG - this is categorical STATUS)</t>
        </is>
      </c>
      <c r="D39" s="31" t="inlineStr">
        <is>
          <t>STATUS</t>
        </is>
      </c>
      <c r="E39" s="32" t="inlineStr">
        <is>
          <t>categorical: coverage='unavailable' if no outcome+no supportingEvents; else 'inferred' if evidence.inferred===true; else 'direct' if directOutcomeLinked &amp;&amp; supportingEvents.length&gt;=2; else 'partial' (acquisition.ts:186-193)</t>
        </is>
      </c>
      <c r="F39" s="32" t="inlineStr">
        <is>
          <t>attribution.tsx:1026 r.path.evidence.coverage; computed by evaluateAttributionEvidence(), src/lib/acquisition.ts:173-218</t>
        </is>
      </c>
      <c r="G39" s="32" t="inlineStr">
        <is>
          <t>range.from-range.to</t>
        </is>
      </c>
      <c r="H39" s="27" t="inlineStr">
        <is>
          <t>LIVE</t>
        </is>
      </c>
      <c r="I39" s="33" t="inlineStr">
        <is>
          <t>SALE-0239</t>
        </is>
      </c>
    </row>
    <row r="40" ht="30" customHeight="1">
      <c r="A40" s="23" t="inlineStr">
        <is>
          <t>Strength</t>
        </is>
      </c>
      <c r="B40" s="24" t="inlineStr">
        <is>
          <t>n/a</t>
        </is>
      </c>
      <c r="C40" s="25" t="inlineStr">
        <is>
          <t>enum: high/medium/low/unknown (given sheet's type=RAW,unit=count is WRONG - categorical STATUS)</t>
        </is>
      </c>
      <c r="D40" s="25" t="inlineStr">
        <is>
          <t>STATUS</t>
        </is>
      </c>
      <c r="E40" s="26" t="inlineStr">
        <is>
          <t>coverage='direct' &amp;&amp; knownTouchpoints&gt;=3 -&gt; 'high'; coverage in (direct,partial) -&gt; 'medium'; coverage='inferred' -&gt; 'low'; else 'unknown'</t>
        </is>
      </c>
      <c r="F40" s="26" t="inlineStr">
        <is>
          <t>attribution.tsx:1027 r.path.evidence.strength; acquisition.ts:194-201</t>
        </is>
      </c>
      <c r="G40" s="26" t="inlineStr">
        <is>
          <t>range.from-range.to</t>
        </is>
      </c>
      <c r="H40" s="27" t="inlineStr">
        <is>
          <t>LIVE</t>
        </is>
      </c>
      <c r="I40" s="28" t="inlineStr">
        <is>
          <t>SALE-0240</t>
        </is>
      </c>
    </row>
    <row r="41" ht="6" customHeight="1"/>
    <row r="42" ht="20" customHeight="1">
      <c r="A42" s="22" t="inlineStr">
        <is>
          <t>EVIDENCE PANEL</t>
        </is>
      </c>
    </row>
    <row r="43" ht="30" customHeight="1">
      <c r="A43" s="29" t="inlineStr">
        <is>
          <t>touchpoints</t>
        </is>
      </c>
      <c r="B43" s="37" t="n"/>
      <c r="C43" s="31" t="inlineStr">
        <is>
          <t>count</t>
        </is>
      </c>
      <c r="D43" s="31" t="inlineStr">
        <is>
          <t>RAW</t>
        </is>
      </c>
      <c r="E43" s="32" t="inlineStr">
        <is>
          <t>Count of known lifecycle events feeding this path (varies by model - see Formula column)</t>
        </is>
      </c>
      <c r="F43" s="32" t="inlineStr">
        <is>
          <t>src/components/attribution-evidence-panel.tsx:48 evidence.knownTouchpoints; set per-model in content-attribution.ts (e.g. leadTouches.length+1 for first/last_touch, 3 for lead_source, 2 for booking_source)</t>
        </is>
      </c>
      <c r="G43" s="32" t="inlineStr">
        <is>
          <t>range.from-range.to</t>
        </is>
      </c>
      <c r="H43" s="27" t="inlineStr">
        <is>
          <t>LIVE</t>
        </is>
      </c>
      <c r="I43" s="33" t="inlineStr">
        <is>
          <t>SALE-0241</t>
        </is>
      </c>
    </row>
    <row r="44" ht="30" customHeight="1">
      <c r="A44" s="23" t="inlineStr">
        <is>
          <t>supporting events</t>
        </is>
      </c>
      <c r="B44" s="37" t="n"/>
      <c r="C44" s="25" t="inlineStr">
        <is>
          <t>count + text list</t>
        </is>
      </c>
      <c r="D44" s="25" t="inlineStr">
        <is>
          <t>RAW (list + count)</t>
        </is>
      </c>
      <c r="E44" s="26" t="inlineStr">
        <is>
          <t>Length/contents of evidence.supportingEvents array (deduplicated set of event-type strings for this path)</t>
        </is>
      </c>
      <c r="F44" s="26" t="inlineStr">
        <is>
          <t>attribution-evidence-panel.tsx:31-33,51-52 evidence.supportingEvents.length, displayed as joined string; set in content-attribution.ts per model (e.g. ['lead_content_touch','call_closed'])</t>
        </is>
      </c>
      <c r="G44" s="26" t="inlineStr">
        <is>
          <t>range.from-range.to</t>
        </is>
      </c>
      <c r="H44" s="27" t="inlineStr">
        <is>
          <t>LIVE</t>
        </is>
      </c>
      <c r="I44" s="28" t="inlineStr">
        <is>
          <t>SALE-0242</t>
        </is>
      </c>
    </row>
    <row r="45" ht="30" customHeight="1">
      <c r="A45" s="29" t="inlineStr">
        <is>
          <t>Model</t>
        </is>
      </c>
      <c r="B45" s="30" t="inlineStr">
        <is>
          <t>n/a</t>
        </is>
      </c>
      <c r="C45" s="31" t="inlineStr">
        <is>
          <t>text (enum label)</t>
        </is>
      </c>
      <c r="D45" s="31" t="inlineStr">
        <is>
          <t>DIMENSION</t>
        </is>
      </c>
      <c r="E45" s="32" t="inlineStr">
        <is>
          <t>Literal value of the currently selected AttributionModel enum (first_touch/lead_source/booking_source/last_touch/assisted_touch), set at evaluateAttributionEvidence() call time</t>
        </is>
      </c>
      <c r="F45" s="32" t="inlineStr">
        <is>
          <t>attribution-evidence-panel.tsx:56-57 evidence.model.replaceAll('_',' ')</t>
        </is>
      </c>
      <c r="G45" s="32" t="inlineStr">
        <is>
          <t>n/a (static per row)</t>
        </is>
      </c>
      <c r="H45" s="27" t="inlineStr">
        <is>
          <t>LIVE</t>
        </is>
      </c>
      <c r="I45" s="33" t="inlineStr">
        <is>
          <t>SALE-0243</t>
        </is>
      </c>
    </row>
    <row r="46" ht="30" customHeight="1">
      <c r="A46" s="23" t="inlineStr">
        <is>
          <t>Sample</t>
        </is>
      </c>
      <c r="B46" s="37" t="n"/>
      <c r="C46" s="25" t="inlineStr">
        <is>
          <t>count</t>
        </is>
      </c>
      <c r="D46" s="25" t="inlineStr">
        <is>
          <t>RAW</t>
        </is>
      </c>
      <c r="E46" s="26" t="inlineStr">
        <is>
          <t>COUNT(closedRows) for the whole page's current range/org (same number for every path in a given query - overall sample size, not per-path)</t>
        </is>
      </c>
      <c r="F46" s="26" t="inlineStr">
        <is>
          <t>attribution-evidence-panel.tsx:58-63 evidence.sampleSize; set from input.sampleSize = closedRows.length (attribution.tsx:298, content-attribution.ts evidence.sampleSize)</t>
        </is>
      </c>
      <c r="G46" s="26" t="inlineStr">
        <is>
          <t>range.from-range.to</t>
        </is>
      </c>
      <c r="H46" s="27" t="inlineStr">
        <is>
          <t>LIVE</t>
        </is>
      </c>
      <c r="I46" s="28" t="inlineStr">
        <is>
          <t>SALE-0244</t>
        </is>
      </c>
    </row>
    <row r="47" ht="30" customHeight="1">
      <c r="A47" s="29" t="inlineStr">
        <is>
          <t>Drill-down</t>
        </is>
      </c>
      <c r="B47" s="30" t="inlineStr">
        <is>
          <t>n/a</t>
        </is>
      </c>
      <c r="C47" s="31" t="inlineStr">
        <is>
          <t>text (opaque key)</t>
        </is>
      </c>
      <c r="D47" s="31" t="inlineStr">
        <is>
          <t>DIMENSION</t>
        </is>
      </c>
      <c r="E47" s="32" t="inlineStr">
        <is>
          <t>Composite string key of lead.id + call.id (+ content.id for assisted_touch)</t>
        </is>
      </c>
      <c r="F47" s="32" t="inlineStr">
        <is>
          <t>attribution-evidence-panel.tsx:71-74 evidence.drilldownKey; set per model in content-attribution.ts e.g. `${lead.id}:${call.id}` or `${lead.id}:${call.id}:${touch.content_id}` for assisted_touch</t>
        </is>
      </c>
      <c r="G47" s="32" t="inlineStr">
        <is>
          <t>n/a</t>
        </is>
      </c>
      <c r="H47" s="27" t="inlineStr">
        <is>
          <t>LIVE</t>
        </is>
      </c>
      <c r="I47" s="33" t="inlineStr">
        <is>
          <t>SALE-0245</t>
        </is>
      </c>
    </row>
    <row r="48" ht="6" customHeight="1"/>
  </sheetData>
  <autoFilter ref="A4:I47"/>
  <mergeCells count="5">
    <mergeCell ref="A33:I33"/>
    <mergeCell ref="A5:I5"/>
    <mergeCell ref="A42:I42"/>
    <mergeCell ref="A18:I18"/>
    <mergeCell ref="A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Traffic</t>
        </is>
      </c>
    </row>
    <row r="2">
      <c r="A2" s="21" t="inlineStr">
        <is>
          <t>22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OVERVIEW</t>
        </is>
      </c>
    </row>
    <row r="6" ht="30" customHeight="1">
      <c r="A6" s="23" t="inlineStr">
        <is>
          <t>Leads tracked</t>
        </is>
      </c>
      <c r="B6" s="37" t="n"/>
      <c r="C6" s="25" t="inlineStr">
        <is>
          <t>count</t>
        </is>
      </c>
      <c r="D6" s="25" t="inlineStr">
        <is>
          <t>RAW</t>
        </is>
      </c>
      <c r="E6" s="26" t="inlineStr">
        <is>
          <t>COUNT(leads) WHERE org_id=? AND created_at BETWEEN range</t>
        </is>
      </c>
      <c r="F6" s="26" t="inlineStr">
        <is>
          <t>src/lib/traffic-hierarchy.ts:262-266 buildTrafficHierarchy() totals.leads++ per lead row; query at traffic.tsx:204-219 .from('leads').select(...).eq('org_id',orgId!).gte/.lte(created_at, range)</t>
        </is>
      </c>
      <c r="G6" s="26" t="inlineStr">
        <is>
          <t>range.from-range.to</t>
        </is>
      </c>
      <c r="H6" s="27" t="inlineStr">
        <is>
          <t>LIVE</t>
        </is>
      </c>
      <c r="I6" s="28" t="inlineStr">
        <is>
          <t>SALE-0246</t>
        </is>
      </c>
    </row>
    <row r="7" ht="30" customHeight="1">
      <c r="A7" s="29" t="inlineStr">
        <is>
          <t>Qualified leads</t>
        </is>
      </c>
      <c r="B7" s="37" t="n"/>
      <c r="C7" s="31" t="inlineStr">
        <is>
          <t>count</t>
        </is>
      </c>
      <c r="D7" s="31" t="inlineStr">
        <is>
          <t>RAW</t>
        </is>
      </c>
      <c r="E7" s="32" t="inlineStr">
        <is>
          <t>COUNT(leads) WHERE org_id=? AND created_at BETWEEN range AND status IN ('qualified','pre_call_assets_sent','call_booked','showed','closed')</t>
        </is>
      </c>
      <c r="F7" s="32" t="inlineStr">
        <is>
          <t>traffic-hierarchy.ts:267 if (QUALIFIED_OR_LATER.has(lead.status)) totals.qualifiedLeads++; QUALIFIED_OR_LATER={qualified,pre_call_assets_sent,call_booked,showed,closed} (traffic-hierarchy.ts:86-92)</t>
        </is>
      </c>
      <c r="G7" s="32" t="inlineStr">
        <is>
          <t>range.from-range.to</t>
        </is>
      </c>
      <c r="H7" s="27" t="inlineStr">
        <is>
          <t>LIVE</t>
        </is>
      </c>
      <c r="I7" s="33" t="inlineStr">
        <is>
          <t>SALE-0247</t>
        </is>
      </c>
    </row>
    <row r="8" ht="30" customHeight="1">
      <c r="A8" s="23" t="inlineStr">
        <is>
          <t>Bookings -&gt; shows -&gt; closes</t>
        </is>
      </c>
      <c r="B8" s="37" t="n"/>
      <c r="C8" s="25" t="inlineStr">
        <is>
          <t>count (x3)</t>
        </is>
      </c>
      <c r="D8" s="25" t="inlineStr">
        <is>
          <t>RAW (3 counts shown together)</t>
        </is>
      </c>
      <c r="E8" s="26" t="inlineStr">
        <is>
          <t>3 separate COUNTs over the same calls-in-range set: COUNT(*) [bookings], COUNT(*) WHERE showed=true, COUNT(*) WHERE closed=true</t>
        </is>
      </c>
      <c r="F8" s="26" t="inlineStr">
        <is>
          <t>traffic-hierarchy.ts:116-124 addCallToMetrics(): bookings+=1 per call row; shows+=1 if showed; closes+=1 if closed. Query traffic.tsx:221-236 .from('calls').select(...).eq('org_id',orgId!).gte/.lte(created_at,range)</t>
        </is>
      </c>
      <c r="G8" s="26" t="inlineStr">
        <is>
          <t>range.from-range.to</t>
        </is>
      </c>
      <c r="H8" s="27" t="inlineStr">
        <is>
          <t>LIVE</t>
        </is>
      </c>
      <c r="I8" s="28" t="inlineStr">
        <is>
          <t>SALE-0248</t>
        </is>
      </c>
    </row>
    <row r="9" ht="30" customHeight="1">
      <c r="A9" s="29" t="inlineStr">
        <is>
          <t>Cash collected</t>
        </is>
      </c>
      <c r="B9" s="34" t="n"/>
      <c r="C9" s="31" t="inlineStr">
        <is>
          <t>$</t>
        </is>
      </c>
      <c r="D9" s="31" t="inlineStr">
        <is>
          <t>DERIVED (sum)</t>
        </is>
      </c>
      <c r="E9" s="32" t="inlineStr">
        <is>
          <t>SUM(calls.cash_collected_cents) WHERE closed=true AND org_id=? AND created_at BETWEEN range</t>
        </is>
      </c>
      <c r="F9" s="32" t="inlineStr">
        <is>
          <t>traffic-hierarchy.ts:119-122 if (call.closed) { m.collectedCents += call.cash_collected_cents ?? 0 } rolled up to hierarchy.totals</t>
        </is>
      </c>
      <c r="G9" s="32" t="inlineStr">
        <is>
          <t>range.from-range.to</t>
        </is>
      </c>
      <c r="H9" s="27" t="inlineStr">
        <is>
          <t>LIVE</t>
        </is>
      </c>
      <c r="I9" s="33" t="inlineStr">
        <is>
          <t>SALE-0249</t>
        </is>
      </c>
    </row>
    <row r="10" ht="6" customHeight="1"/>
    <row r="11" ht="20" customHeight="1">
      <c r="A11" s="22" t="inlineStr">
        <is>
          <t>PLATFORM MIX</t>
        </is>
      </c>
    </row>
    <row r="12" ht="30" customHeight="1">
      <c r="A12" s="23" t="inlineStr">
        <is>
          <t>Share of leads by platform</t>
        </is>
      </c>
      <c r="B12" s="39" t="n"/>
      <c r="C12" s="25" t="inlineStr">
        <is>
          <t>%</t>
        </is>
      </c>
      <c r="D12" s="25" t="inlineStr">
        <is>
          <t>DERIVED (ratio)</t>
        </is>
      </c>
      <c r="E12" s="26" t="inlineStr">
        <is>
          <t>platform.metrics.leads / totals.leads * 100</t>
        </is>
      </c>
      <c r="F12" s="26" t="inlineStr">
        <is>
          <t>traffic.tsx:719-722 share = hierarchy.totals.leads ? (p.metrics.leads / hierarchy.totals.leads) * 100 : 0</t>
        </is>
      </c>
      <c r="G12" s="26" t="inlineStr">
        <is>
          <t>range.from-range.to</t>
        </is>
      </c>
      <c r="H12" s="27" t="inlineStr">
        <is>
          <t>LIVE</t>
        </is>
      </c>
      <c r="I12" s="28" t="inlineStr">
        <is>
          <t>SALE-0250</t>
        </is>
      </c>
    </row>
    <row r="13" ht="6" customHeight="1"/>
    <row r="14" ht="20" customHeight="1">
      <c r="A14" s="22" t="inlineStr">
        <is>
          <t>PER-PLATFORM TILES</t>
        </is>
      </c>
    </row>
    <row r="15" ht="30" customHeight="1">
      <c r="A15" s="29" t="inlineStr">
        <is>
          <t>Leads</t>
        </is>
      </c>
      <c r="B15" s="37" t="n"/>
      <c r="C15" s="31" t="inlineStr">
        <is>
          <t>count</t>
        </is>
      </c>
      <c r="D15" s="31" t="inlineStr">
        <is>
          <t>RAW</t>
        </is>
      </c>
      <c r="E15" s="32" t="inlineStr">
        <is>
          <t>COUNT(leads) grouped by resolved platform</t>
        </is>
      </c>
      <c r="F15" s="32" t="inlineStr">
        <is>
          <t>traffic-hierarchy.ts:270-275 platformNode.metrics.leads++ per resolved lead</t>
        </is>
      </c>
      <c r="G15" s="32" t="inlineStr">
        <is>
          <t>range.from-range.to</t>
        </is>
      </c>
      <c r="H15" s="27" t="inlineStr">
        <is>
          <t>LIVE</t>
        </is>
      </c>
      <c r="I15" s="33" t="inlineStr">
        <is>
          <t>SALE-0251</t>
        </is>
      </c>
    </row>
    <row r="16" ht="30" customHeight="1">
      <c r="A16" s="23" t="inlineStr">
        <is>
          <t>Qualified</t>
        </is>
      </c>
      <c r="B16" s="37" t="n"/>
      <c r="C16" s="25" t="inlineStr">
        <is>
          <t>count</t>
        </is>
      </c>
      <c r="D16" s="25" t="inlineStr">
        <is>
          <t>RAW</t>
        </is>
      </c>
      <c r="E16" s="26" t="inlineStr">
        <is>
          <t>COUNT(leads) grouped by platform WHERE status IN QUALIFIED_OR_LATER</t>
        </is>
      </c>
      <c r="F16" s="26" t="inlineStr">
        <is>
          <t>traffic-hierarchy.ts:276 platformNode.metrics.qualifiedLeads++</t>
        </is>
      </c>
      <c r="G16" s="26" t="inlineStr">
        <is>
          <t>range.from-range.to</t>
        </is>
      </c>
      <c r="H16" s="27" t="inlineStr">
        <is>
          <t>LIVE</t>
        </is>
      </c>
      <c r="I16" s="28" t="inlineStr">
        <is>
          <t>SALE-0252</t>
        </is>
      </c>
    </row>
    <row r="17" ht="30" customHeight="1">
      <c r="A17" s="29" t="inlineStr">
        <is>
          <t>Booked</t>
        </is>
      </c>
      <c r="B17" s="37" t="n"/>
      <c r="C17" s="31" t="inlineStr">
        <is>
          <t>count</t>
        </is>
      </c>
      <c r="D17" s="31" t="inlineStr">
        <is>
          <t>RAW</t>
        </is>
      </c>
      <c r="E17" s="32" t="inlineStr">
        <is>
          <t>COUNT(calls) grouped by lead's resolved platform</t>
        </is>
      </c>
      <c r="F17" s="32" t="inlineStr">
        <is>
          <t>traffic-hierarchy.ts:306-308 addCallToMetrics(platformNode.metrics,call) per call linked to a lead resolved to this platform</t>
        </is>
      </c>
      <c r="G17" s="32" t="inlineStr">
        <is>
          <t>range.from-range.to</t>
        </is>
      </c>
      <c r="H17" s="27" t="inlineStr">
        <is>
          <t>LIVE</t>
        </is>
      </c>
      <c r="I17" s="33" t="inlineStr">
        <is>
          <t>SALE-0253</t>
        </is>
      </c>
    </row>
    <row r="18" ht="30" customHeight="1">
      <c r="A18" s="23" t="inlineStr">
        <is>
          <t>Showed</t>
        </is>
      </c>
      <c r="B18" s="37" t="n"/>
      <c r="C18" s="25" t="inlineStr">
        <is>
          <t>count</t>
        </is>
      </c>
      <c r="D18" s="25" t="inlineStr">
        <is>
          <t>RAW</t>
        </is>
      </c>
      <c r="E18" s="26" t="inlineStr">
        <is>
          <t>COUNT(calls) grouped by platform WHERE showed=true</t>
        </is>
      </c>
      <c r="F18" s="26" t="inlineStr">
        <is>
          <t>traffic-hierarchy.ts:118 (via addCallToMetrics) shows+=1 if call.showed</t>
        </is>
      </c>
      <c r="G18" s="26" t="inlineStr">
        <is>
          <t>range.from-range.to</t>
        </is>
      </c>
      <c r="H18" s="27" t="inlineStr">
        <is>
          <t>LIVE</t>
        </is>
      </c>
      <c r="I18" s="28" t="inlineStr">
        <is>
          <t>SALE-0254</t>
        </is>
      </c>
    </row>
    <row r="19" ht="30" customHeight="1">
      <c r="A19" s="29" t="inlineStr">
        <is>
          <t>Closed</t>
        </is>
      </c>
      <c r="B19" s="37" t="n"/>
      <c r="C19" s="31" t="inlineStr">
        <is>
          <t>count</t>
        </is>
      </c>
      <c r="D19" s="31" t="inlineStr">
        <is>
          <t>RAW</t>
        </is>
      </c>
      <c r="E19" s="32" t="inlineStr">
        <is>
          <t>COUNT(calls) grouped by platform WHERE closed=true</t>
        </is>
      </c>
      <c r="F19" s="32" t="inlineStr">
        <is>
          <t>traffic-hierarchy.ts:119 closes+=1 if call.closed</t>
        </is>
      </c>
      <c r="G19" s="32" t="inlineStr">
        <is>
          <t>range.from-range.to</t>
        </is>
      </c>
      <c r="H19" s="27" t="inlineStr">
        <is>
          <t>LIVE</t>
        </is>
      </c>
      <c r="I19" s="33" t="inlineStr">
        <is>
          <t>SALE-0255</t>
        </is>
      </c>
    </row>
    <row r="20" ht="30" customHeight="1">
      <c r="A20" s="23" t="inlineStr">
        <is>
          <t>Cash</t>
        </is>
      </c>
      <c r="B20" s="34" t="n"/>
      <c r="C20" s="25" t="inlineStr">
        <is>
          <t>$</t>
        </is>
      </c>
      <c r="D20" s="25" t="inlineStr">
        <is>
          <t>DERIVED (sum)</t>
        </is>
      </c>
      <c r="E20" s="26" t="inlineStr">
        <is>
          <t>SUM(calls.cash_collected_cents) grouped by platform WHERE closed=true</t>
        </is>
      </c>
      <c r="F20" s="26" t="inlineStr">
        <is>
          <t>traffic-hierarchy.ts:121-122 collectedCents summed per platform</t>
        </is>
      </c>
      <c r="G20" s="26" t="inlineStr">
        <is>
          <t>range.from-range.to</t>
        </is>
      </c>
      <c r="H20" s="27" t="inlineStr">
        <is>
          <t>LIVE</t>
        </is>
      </c>
      <c r="I20" s="28" t="inlineStr">
        <is>
          <t>SALE-0256</t>
        </is>
      </c>
    </row>
    <row r="21" ht="30" customHeight="1">
      <c r="A21" s="29" t="inlineStr">
        <is>
          <t>Revenue</t>
        </is>
      </c>
      <c r="B21" s="34" t="n"/>
      <c r="C21" s="31" t="inlineStr">
        <is>
          <t>$</t>
        </is>
      </c>
      <c r="D21" s="31" t="inlineStr">
        <is>
          <t>DERIVED (sum)</t>
        </is>
      </c>
      <c r="E21" s="32" t="inlineStr">
        <is>
          <t>SUM(calls.contract_value_cents) grouped by platform WHERE closed=true</t>
        </is>
      </c>
      <c r="F21" s="32" t="inlineStr">
        <is>
          <t>traffic.tsx:1181 tile labeled 'Revenue' reads node.metrics.contractedCents (same field as Comparison table's 'Contracted')</t>
        </is>
      </c>
      <c r="G21" s="32" t="inlineStr">
        <is>
          <t>range.from-range.to</t>
        </is>
      </c>
      <c r="H21" s="27" t="inlineStr">
        <is>
          <t>LIVE</t>
        </is>
      </c>
      <c r="I21" s="33" t="inlineStr">
        <is>
          <t>SALE-0257</t>
        </is>
      </c>
    </row>
    <row r="22" ht="6" customHeight="1"/>
    <row r="23" ht="20" customHeight="1">
      <c r="A23" s="22" t="inlineStr">
        <is>
          <t>FUNNEL STAGE</t>
        </is>
      </c>
    </row>
    <row r="24" ht="30" customHeight="1">
      <c r="A24" s="23" t="inlineStr">
        <is>
          <t>TOF</t>
        </is>
      </c>
      <c r="B24" s="37" t="n"/>
      <c r="C24" s="25" t="inlineStr">
        <is>
          <t>count</t>
        </is>
      </c>
      <c r="D24" s="25" t="inlineStr">
        <is>
          <t>RAW (rollup)</t>
        </is>
      </c>
      <c r="E24" s="26" t="inlineStr">
        <is>
          <t>COUNT(leads) whose resolved content_pieces.funnel_stage normalizes to 'tof'</t>
        </is>
      </c>
      <c r="F24" s="26" t="inlineStr">
        <is>
          <t>traffic.tsx:379-386 funnelRollup = rollupByFunnelStage(hierarchy) (traffic-hierarchy.ts:325-347); TOF/MOF/BOF sourced from content_pieces.funnel_stage via normalizeFunnelStage(), joined per-lead via resolveLead()</t>
        </is>
      </c>
      <c r="G24" s="26" t="inlineStr">
        <is>
          <t>range.from-range.to</t>
        </is>
      </c>
      <c r="H24" s="27" t="inlineStr">
        <is>
          <t>LIVE</t>
        </is>
      </c>
      <c r="I24" s="28" t="inlineStr">
        <is>
          <t>SALE-0258</t>
        </is>
      </c>
    </row>
    <row r="25" ht="30" customHeight="1">
      <c r="A25" s="29" t="inlineStr">
        <is>
          <t>MOF</t>
        </is>
      </c>
      <c r="B25" s="37" t="n"/>
      <c r="C25" s="31" t="inlineStr">
        <is>
          <t>count</t>
        </is>
      </c>
      <c r="D25" s="31" t="inlineStr">
        <is>
          <t>RAW (rollup)</t>
        </is>
      </c>
      <c r="E25" s="32" t="inlineStr">
        <is>
          <t>COUNT(leads) whose resolved content funnel_stage normalizes to 'mof'</t>
        </is>
      </c>
      <c r="F25" s="32" t="inlineStr">
        <is>
          <t>Same mechanism as SALE-0258 filtered to funnel_stage='mof'</t>
        </is>
      </c>
      <c r="G25" s="32" t="inlineStr">
        <is>
          <t>range.from-range.to</t>
        </is>
      </c>
      <c r="H25" s="27" t="inlineStr">
        <is>
          <t>LIVE</t>
        </is>
      </c>
      <c r="I25" s="33" t="inlineStr">
        <is>
          <t>SALE-0259</t>
        </is>
      </c>
    </row>
    <row r="26" ht="30" customHeight="1">
      <c r="A26" s="23" t="inlineStr">
        <is>
          <t>BOF</t>
        </is>
      </c>
      <c r="B26" s="37" t="n"/>
      <c r="C26" s="25" t="inlineStr">
        <is>
          <t>count</t>
        </is>
      </c>
      <c r="D26" s="25" t="inlineStr">
        <is>
          <t>RAW (rollup)</t>
        </is>
      </c>
      <c r="E26" s="26" t="inlineStr">
        <is>
          <t>COUNT(leads) whose resolved content funnel_stage normalizes to 'bof'</t>
        </is>
      </c>
      <c r="F26" s="26" t="inlineStr">
        <is>
          <t>Same mechanism as SALE-0258 filtered to funnel_stage='bof'</t>
        </is>
      </c>
      <c r="G26" s="26" t="inlineStr">
        <is>
          <t>range.from-range.to</t>
        </is>
      </c>
      <c r="H26" s="27" t="inlineStr">
        <is>
          <t>LIVE</t>
        </is>
      </c>
      <c r="I26" s="28" t="inlineStr">
        <is>
          <t>SALE-0260</t>
        </is>
      </c>
    </row>
    <row r="27" ht="6" customHeight="1"/>
    <row r="28" ht="20" customHeight="1">
      <c r="A28" s="22" t="inlineStr">
        <is>
          <t>COMPARISON TABLE</t>
        </is>
      </c>
    </row>
    <row r="29" ht="30" customHeight="1">
      <c r="A29" s="29" t="inlineStr">
        <is>
          <t>Leads</t>
        </is>
      </c>
      <c r="B29" s="37" t="n"/>
      <c r="C29" s="31" t="inlineStr">
        <is>
          <t>count</t>
        </is>
      </c>
      <c r="D29" s="31" t="inlineStr">
        <is>
          <t>RAW</t>
        </is>
      </c>
      <c r="E29" s="32" t="inlineStr">
        <is>
          <t>COUNT(leads) grouped by platform (identical field to SALE-0251)</t>
        </is>
      </c>
      <c r="F29" s="32" t="inlineStr">
        <is>
          <t>traffic.tsx:388-391 comparisonRows = hierarchy.platforms sorted by sortKey; cell renders r.metrics.leads (traffic.tsx:926)</t>
        </is>
      </c>
      <c r="G29" s="32" t="inlineStr">
        <is>
          <t>range.from-range.to</t>
        </is>
      </c>
      <c r="H29" s="27" t="inlineStr">
        <is>
          <t>LIVE</t>
        </is>
      </c>
      <c r="I29" s="33" t="inlineStr">
        <is>
          <t>SALE-0261</t>
        </is>
      </c>
    </row>
    <row r="30" ht="30" customHeight="1">
      <c r="A30" s="23" t="inlineStr">
        <is>
          <t>Qualified</t>
        </is>
      </c>
      <c r="B30" s="37" t="n"/>
      <c r="C30" s="25" t="inlineStr">
        <is>
          <t>count</t>
        </is>
      </c>
      <c r="D30" s="25" t="inlineStr">
        <is>
          <t>RAW</t>
        </is>
      </c>
      <c r="E30" s="26" t="inlineStr">
        <is>
          <t>COUNT(leads) grouped by platform WHERE status IN QUALIFIED_OR_LATER</t>
        </is>
      </c>
      <c r="F30" s="26" t="inlineStr">
        <is>
          <t>traffic.tsx:927 r.metrics.qualifiedLeads</t>
        </is>
      </c>
      <c r="G30" s="26" t="inlineStr">
        <is>
          <t>range.from-range.to</t>
        </is>
      </c>
      <c r="H30" s="27" t="inlineStr">
        <is>
          <t>LIVE</t>
        </is>
      </c>
      <c r="I30" s="28" t="inlineStr">
        <is>
          <t>SALE-0262</t>
        </is>
      </c>
    </row>
    <row r="31" ht="30" customHeight="1">
      <c r="A31" s="29" t="inlineStr">
        <is>
          <t>Bookings</t>
        </is>
      </c>
      <c r="B31" s="37" t="n"/>
      <c r="C31" s="31" t="inlineStr">
        <is>
          <t>count</t>
        </is>
      </c>
      <c r="D31" s="31" t="inlineStr">
        <is>
          <t>RAW</t>
        </is>
      </c>
      <c r="E31" s="32" t="inlineStr">
        <is>
          <t>COUNT(calls) grouped by platform</t>
        </is>
      </c>
      <c r="F31" s="32" t="inlineStr">
        <is>
          <t>traffic.tsx:928 r.metrics.bookings</t>
        </is>
      </c>
      <c r="G31" s="32" t="inlineStr">
        <is>
          <t>range.from-range.to</t>
        </is>
      </c>
      <c r="H31" s="27" t="inlineStr">
        <is>
          <t>LIVE</t>
        </is>
      </c>
      <c r="I31" s="33" t="inlineStr">
        <is>
          <t>SALE-0263</t>
        </is>
      </c>
    </row>
    <row r="32" ht="30" customHeight="1">
      <c r="A32" s="23" t="inlineStr">
        <is>
          <t>Shows</t>
        </is>
      </c>
      <c r="B32" s="37" t="n"/>
      <c r="C32" s="25" t="inlineStr">
        <is>
          <t>count</t>
        </is>
      </c>
      <c r="D32" s="25" t="inlineStr">
        <is>
          <t>RAW</t>
        </is>
      </c>
      <c r="E32" s="26" t="inlineStr">
        <is>
          <t>COUNT(calls) grouped by platform WHERE showed=true</t>
        </is>
      </c>
      <c r="F32" s="26" t="inlineStr">
        <is>
          <t>traffic.tsx:929 r.metrics.shows</t>
        </is>
      </c>
      <c r="G32" s="26" t="inlineStr">
        <is>
          <t>range.from-range.to</t>
        </is>
      </c>
      <c r="H32" s="27" t="inlineStr">
        <is>
          <t>LIVE</t>
        </is>
      </c>
      <c r="I32" s="28" t="inlineStr">
        <is>
          <t>SALE-0264</t>
        </is>
      </c>
    </row>
    <row r="33" ht="30" customHeight="1">
      <c r="A33" s="29" t="inlineStr">
        <is>
          <t>Closes</t>
        </is>
      </c>
      <c r="B33" s="37" t="n"/>
      <c r="C33" s="31" t="inlineStr">
        <is>
          <t>count</t>
        </is>
      </c>
      <c r="D33" s="31" t="inlineStr">
        <is>
          <t>RAW</t>
        </is>
      </c>
      <c r="E33" s="32" t="inlineStr">
        <is>
          <t>COUNT(calls) grouped by platform WHERE closed=true</t>
        </is>
      </c>
      <c r="F33" s="32" t="inlineStr">
        <is>
          <t>traffic.tsx:930 r.metrics.closes</t>
        </is>
      </c>
      <c r="G33" s="32" t="inlineStr">
        <is>
          <t>range.from-range.to</t>
        </is>
      </c>
      <c r="H33" s="27" t="inlineStr">
        <is>
          <t>LIVE</t>
        </is>
      </c>
      <c r="I33" s="33" t="inlineStr">
        <is>
          <t>SALE-0265</t>
        </is>
      </c>
    </row>
    <row r="34" ht="30" customHeight="1">
      <c r="A34" s="23" t="inlineStr">
        <is>
          <t>Contracted</t>
        </is>
      </c>
      <c r="B34" s="34" t="n"/>
      <c r="C34" s="25" t="inlineStr">
        <is>
          <t>$</t>
        </is>
      </c>
      <c r="D34" s="25" t="inlineStr">
        <is>
          <t>DERIVED (sum)</t>
        </is>
      </c>
      <c r="E34" s="26" t="inlineStr">
        <is>
          <t>SUM(calls.contract_value_cents) grouped by platform WHERE closed=true</t>
        </is>
      </c>
      <c r="F34" s="26" t="inlineStr">
        <is>
          <t>traffic.tsx:931 r.metrics.contractedCents labeled 'Contracted value'</t>
        </is>
      </c>
      <c r="G34" s="26" t="inlineStr">
        <is>
          <t>range.from-range.to</t>
        </is>
      </c>
      <c r="H34" s="27" t="inlineStr">
        <is>
          <t>LIVE</t>
        </is>
      </c>
      <c r="I34" s="28" t="inlineStr">
        <is>
          <t>SALE-0266</t>
        </is>
      </c>
    </row>
    <row r="35" ht="30" customHeight="1">
      <c r="A35" s="29" t="inlineStr">
        <is>
          <t>Cash collected</t>
        </is>
      </c>
      <c r="B35" s="34" t="n"/>
      <c r="C35" s="31" t="inlineStr">
        <is>
          <t>$</t>
        </is>
      </c>
      <c r="D35" s="31" t="inlineStr">
        <is>
          <t>DERIVED (sum)</t>
        </is>
      </c>
      <c r="E35" s="32" t="inlineStr">
        <is>
          <t>SUM(calls.cash_collected_cents) grouped by platform WHERE closed=true</t>
        </is>
      </c>
      <c r="F35" s="32" t="inlineStr">
        <is>
          <t>traffic.tsx:932-937 r.metrics.collectedCents</t>
        </is>
      </c>
      <c r="G35" s="32" t="inlineStr">
        <is>
          <t>range.from-range.to</t>
        </is>
      </c>
      <c r="H35" s="27" t="inlineStr">
        <is>
          <t>LIVE</t>
        </is>
      </c>
      <c r="I35" s="33" t="inlineStr">
        <is>
          <t>SALE-0267</t>
        </is>
      </c>
    </row>
    <row r="36" ht="6" customHeight="1"/>
  </sheetData>
  <autoFilter ref="A4:I35"/>
  <mergeCells count="5">
    <mergeCell ref="A11:I11"/>
    <mergeCell ref="A28:I28"/>
    <mergeCell ref="A5:I5"/>
    <mergeCell ref="A14:I14"/>
    <mergeCell ref="A23:I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Reps &gt; DM Setter</t>
        </is>
      </c>
    </row>
    <row r="2">
      <c r="A2" s="21" t="inlineStr">
        <is>
          <t>46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TARGETS</t>
        </is>
      </c>
    </row>
    <row r="6" ht="30" customHeight="1">
      <c r="A6" s="23" t="inlineStr">
        <is>
          <t>Outbound DMs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sum(setter_activity.outbound_dms_sent) for the rep, sliced to the calendar day/week/month window</t>
        </is>
      </c>
      <c r="F6" s="26" t="inlineStr">
        <is>
          <t>rep_kpi_targets (target) + setter_activity.outbound_dms_sent (actual), src/lib/rep-kpi-targets.ts:39-51 + src/lib/rep-kpi-actuals.ts:70-82</t>
        </is>
      </c>
      <c r="G6" s="26" t="inlineStr">
        <is>
          <t>Calendar day/week/month 'as of today' (kpi-targets.ts:161-212) — independent of the page's own date-range filter</t>
        </is>
      </c>
      <c r="H6" s="27" t="inlineStr">
        <is>
          <t>LIVE</t>
        </is>
      </c>
      <c r="I6" s="28" t="inlineStr">
        <is>
          <t>SALE-0268</t>
        </is>
      </c>
    </row>
    <row r="7" ht="30" customHeight="1">
      <c r="A7" s="29" t="inlineStr">
        <is>
          <t>Inbound DMs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sum(setter_activity.inbound_dms_sent) in calendar period</t>
        </is>
      </c>
      <c r="F7" s="32" t="inlineStr">
        <is>
          <t>setter_activity.inbound_dms_sent via actualFromSetterActivity (rep-kpi-actuals.ts:70-82)</t>
        </is>
      </c>
      <c r="G7" s="32" t="inlineStr">
        <is>
          <t>Calendar day/week/month as-of-today</t>
        </is>
      </c>
      <c r="H7" s="27" t="inlineStr">
        <is>
          <t>LIVE</t>
        </is>
      </c>
      <c r="I7" s="33" t="inlineStr">
        <is>
          <t>SALE-0269</t>
        </is>
      </c>
    </row>
    <row r="8" ht="30" customHeight="1">
      <c r="A8" s="23" t="inlineStr">
        <is>
          <t>Replies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sum(setter_activity.replies) in calendar period</t>
        </is>
      </c>
      <c r="F8" s="26" t="inlineStr">
        <is>
          <t>setter_activity.replies via actualFromSetterActivity</t>
        </is>
      </c>
      <c r="G8" s="26" t="inlineStr">
        <is>
          <t>Calendar day/week/month as-of-today</t>
        </is>
      </c>
      <c r="H8" s="27" t="inlineStr">
        <is>
          <t>LIVE</t>
        </is>
      </c>
      <c r="I8" s="28" t="inlineStr">
        <is>
          <t>SALE-0270</t>
        </is>
      </c>
    </row>
    <row r="9" ht="30" customHeight="1">
      <c r="A9" s="29" t="inlineStr">
        <is>
          <t>Qualified Conversations</t>
        </is>
      </c>
      <c r="B9" s="37" t="n"/>
      <c r="C9" s="31" t="inlineStr">
        <is>
          <t>count</t>
        </is>
      </c>
      <c r="D9" s="31" t="inlineStr">
        <is>
          <t>AGGREGATED</t>
        </is>
      </c>
      <c r="E9" s="32" t="inlineStr">
        <is>
          <t>sum(setter_activity.qualified_convos) in calendar period</t>
        </is>
      </c>
      <c r="F9" s="32" t="inlineStr">
        <is>
          <t>setter_activity.qualified_convos via actualFromSetterActivity, metric_key qualified_convos_setter (kpi-targets.ts:26)</t>
        </is>
      </c>
      <c r="G9" s="32" t="inlineStr">
        <is>
          <t>Calendar day/week/month as-of-today</t>
        </is>
      </c>
      <c r="H9" s="27" t="inlineStr">
        <is>
          <t>LIVE</t>
        </is>
      </c>
      <c r="I9" s="33" t="inlineStr">
        <is>
          <t>SALE-0271</t>
        </is>
      </c>
    </row>
    <row r="10" ht="30" customHeight="1">
      <c r="A10" s="23" t="inlineStr">
        <is>
          <t>Calls Booked</t>
        </is>
      </c>
      <c r="B10" s="37" t="n"/>
      <c r="C10" s="25" t="inlineStr">
        <is>
          <t>count</t>
        </is>
      </c>
      <c r="D10" s="25" t="inlineStr">
        <is>
          <t>AGGREGATED</t>
        </is>
      </c>
      <c r="E10" s="26" t="inlineStr">
        <is>
          <t>sum(setter_activity.calls_on_calendar) in calendar period</t>
        </is>
      </c>
      <c r="F10" s="26" t="inlineStr">
        <is>
          <t>setter_activity.calls_on_calendar via actualFromSetterActivity, metric_key calls_on_calendar_setter</t>
        </is>
      </c>
      <c r="G10" s="26" t="inlineStr">
        <is>
          <t>Calendar day/week/month as-of-today</t>
        </is>
      </c>
      <c r="H10" s="27" t="inlineStr">
        <is>
          <t>LIVE</t>
        </is>
      </c>
      <c r="I10" s="28" t="inlineStr">
        <is>
          <t>SALE-0272</t>
        </is>
      </c>
    </row>
    <row r="11" ht="30" customHeight="1">
      <c r="A11" s="29" t="inlineStr">
        <is>
          <t>Showed Calls</t>
        </is>
      </c>
      <c r="B11" s="37" t="n"/>
      <c r="C11" s="31" t="inlineStr">
        <is>
          <t>count</t>
        </is>
      </c>
      <c r="D11" s="31" t="inlineStr">
        <is>
          <t>AGGREGATED</t>
        </is>
      </c>
      <c r="E11" s="32" t="inlineStr">
        <is>
          <t>sum(setter_activity.live_calls) in calendar period</t>
        </is>
      </c>
      <c r="F11" s="32" t="inlineStr">
        <is>
          <t>setter_activity.live_calls via actualFromSetterActivity, metric_key live_calls_setter</t>
        </is>
      </c>
      <c r="G11" s="32" t="inlineStr">
        <is>
          <t>Calendar day/week/month as-of-today</t>
        </is>
      </c>
      <c r="H11" s="27" t="inlineStr">
        <is>
          <t>LIVE</t>
        </is>
      </c>
      <c r="I11" s="33" t="inlineStr">
        <is>
          <t>SALE-0273</t>
        </is>
      </c>
    </row>
    <row r="12" ht="6" customHeight="1"/>
    <row r="13" ht="20" customHeight="1">
      <c r="A13" s="22" t="inlineStr">
        <is>
          <t>KEY METRICS</t>
        </is>
      </c>
    </row>
    <row r="14" ht="30" customHeight="1">
      <c r="A14" s="23" t="inlineStr">
        <is>
          <t>Cash Collected</t>
        </is>
      </c>
      <c r="B14" s="34" t="n"/>
      <c r="C14" s="25" t="inlineStr">
        <is>
          <t>$ (cents → display currency)</t>
        </is>
      </c>
      <c r="D14" s="25" t="inlineStr">
        <is>
          <t>AGGREGATED</t>
        </is>
      </c>
      <c r="E14" s="26" t="inlineStr">
        <is>
          <t>sum(cash_collected_cents) over role/org/range-filtered rows</t>
        </is>
      </c>
      <c r="F14" s="26" t="inlineStr">
        <is>
          <t>setter_activity.cash_collected_cents, activity-module.tsx:1202 sum("cash_collected_cents")</t>
        </is>
      </c>
      <c r="G14" s="26" t="inlineStr">
        <is>
          <t>Page date-range picker (range.from/to on activity_date)</t>
        </is>
      </c>
      <c r="H14" s="27" t="inlineStr">
        <is>
          <t>LIVE</t>
        </is>
      </c>
      <c r="I14" s="28" t="inlineStr">
        <is>
          <t>SALE-0274</t>
        </is>
      </c>
    </row>
    <row r="15" ht="30" customHeight="1">
      <c r="A15" s="29" t="inlineStr">
        <is>
          <t>Revenue Generated</t>
        </is>
      </c>
      <c r="B15" s="34" t="n"/>
      <c r="C15" s="31" t="inlineStr">
        <is>
          <t>$ (cents)</t>
        </is>
      </c>
      <c r="D15" s="31" t="inlineStr">
        <is>
          <t>AGGREGATED</t>
        </is>
      </c>
      <c r="E15" s="32" t="inlineStr">
        <is>
          <t>sum(total_revenue_cents)</t>
        </is>
      </c>
      <c r="F15" s="32" t="inlineStr">
        <is>
          <t>setter_activity.total_revenue_cents, activity-module.tsx:1203 sum("total_revenue_cents")</t>
        </is>
      </c>
      <c r="G15" s="32" t="inlineStr">
        <is>
          <t>Page date-range picker</t>
        </is>
      </c>
      <c r="H15" s="27" t="inlineStr">
        <is>
          <t>LIVE</t>
        </is>
      </c>
      <c r="I15" s="33" t="inlineStr">
        <is>
          <t>SALE-0275</t>
        </is>
      </c>
    </row>
    <row r="16" ht="30" customHeight="1">
      <c r="A16" s="23" t="inlineStr">
        <is>
          <t>Leads Contacted</t>
        </is>
      </c>
      <c r="B16" s="37" t="n"/>
      <c r="C16" s="25" t="inlineStr">
        <is>
          <t>count</t>
        </is>
      </c>
      <c r="D16" s="25" t="inlineStr">
        <is>
          <t>AGGREGATED</t>
        </is>
      </c>
      <c r="E16" s="26" t="inlineStr">
        <is>
          <t>sum(leads_contacted)</t>
        </is>
      </c>
      <c r="F16" s="26" t="inlineStr">
        <is>
          <t>setter_activity.leads_contacted, activity-module.tsx:1194 sum("leads_contacted")</t>
        </is>
      </c>
      <c r="G16" s="26" t="inlineStr">
        <is>
          <t>Page date-range picker</t>
        </is>
      </c>
      <c r="H16" s="27" t="inlineStr">
        <is>
          <t>LIVE</t>
        </is>
      </c>
      <c r="I16" s="28" t="inlineStr">
        <is>
          <t>SALE-0276</t>
        </is>
      </c>
    </row>
    <row r="17" ht="30" customHeight="1">
      <c r="A17" s="29" t="inlineStr">
        <is>
          <t>Qualified Convos</t>
        </is>
      </c>
      <c r="B17" s="37" t="n"/>
      <c r="C17" s="31" t="inlineStr">
        <is>
          <t>count</t>
        </is>
      </c>
      <c r="D17" s="31" t="inlineStr">
        <is>
          <t>AGGREGATED</t>
        </is>
      </c>
      <c r="E17" s="32" t="inlineStr">
        <is>
          <t>sum(qualified_convos)</t>
        </is>
      </c>
      <c r="F17" s="32" t="inlineStr">
        <is>
          <t>setter_activity.qualified_convos, activity-module.tsx:1196</t>
        </is>
      </c>
      <c r="G17" s="32" t="inlineStr">
        <is>
          <t>Page date-range picker</t>
        </is>
      </c>
      <c r="H17" s="27" t="inlineStr">
        <is>
          <t>LIVE</t>
        </is>
      </c>
      <c r="I17" s="33" t="inlineStr">
        <is>
          <t>SALE-0277</t>
        </is>
      </c>
    </row>
    <row r="18" ht="30" customHeight="1">
      <c r="A18" s="23" t="inlineStr">
        <is>
          <t>Sets</t>
        </is>
      </c>
      <c r="B18" s="37" t="n"/>
      <c r="C18" s="25" t="inlineStr">
        <is>
          <t>count</t>
        </is>
      </c>
      <c r="D18" s="25" t="inlineStr">
        <is>
          <t>AGGREGATED</t>
        </is>
      </c>
      <c r="E18" s="26" t="inlineStr">
        <is>
          <t>sum(sets)</t>
        </is>
      </c>
      <c r="F18" s="26" t="inlineStr">
        <is>
          <t>setter_activity.sets, activity-module.tsx:1197</t>
        </is>
      </c>
      <c r="G18" s="26" t="inlineStr">
        <is>
          <t>Page date-range picker</t>
        </is>
      </c>
      <c r="H18" s="27" t="inlineStr">
        <is>
          <t>LIVE</t>
        </is>
      </c>
      <c r="I18" s="28" t="inlineStr">
        <is>
          <t>SALE-0278</t>
        </is>
      </c>
    </row>
    <row r="19" ht="30" customHeight="1">
      <c r="A19" s="29" t="inlineStr">
        <is>
          <t>Inbound DMs Sent</t>
        </is>
      </c>
      <c r="B19" s="37" t="n"/>
      <c r="C19" s="31" t="inlineStr">
        <is>
          <t>count</t>
        </is>
      </c>
      <c r="D19" s="31" t="inlineStr">
        <is>
          <t>AGGREGATED</t>
        </is>
      </c>
      <c r="E19" s="32" t="inlineStr">
        <is>
          <t>sum(inbound_dms_sent) or null if column never observed on any row</t>
        </is>
      </c>
      <c r="F19" s="32" t="inlineStr">
        <is>
          <t>optionalMetric("inbound_dms_sent"), activity-module.tsx:1185</t>
        </is>
      </c>
      <c r="G19" s="32" t="inlineStr">
        <is>
          <t>Page date-range picker</t>
        </is>
      </c>
      <c r="H19" s="27" t="inlineStr">
        <is>
          <t>LIVE</t>
        </is>
      </c>
      <c r="I19" s="33" t="inlineStr">
        <is>
          <t>SALE-0279</t>
        </is>
      </c>
    </row>
    <row r="20" ht="30" customHeight="1">
      <c r="A20" s="23" t="inlineStr">
        <is>
          <t>Outbound DMs Sent</t>
        </is>
      </c>
      <c r="B20" s="37" t="n"/>
      <c r="C20" s="25" t="inlineStr">
        <is>
          <t>count</t>
        </is>
      </c>
      <c r="D20" s="25" t="inlineStr">
        <is>
          <t>AGGREGATED</t>
        </is>
      </c>
      <c r="E20" s="26" t="inlineStr">
        <is>
          <t>sum(outbound_dms_sent) or null</t>
        </is>
      </c>
      <c r="F20" s="26" t="inlineStr">
        <is>
          <t>optionalMetric("outbound_dms_sent"), activity-module.tsx:1186</t>
        </is>
      </c>
      <c r="G20" s="26" t="inlineStr">
        <is>
          <t>Page date-range picker</t>
        </is>
      </c>
      <c r="H20" s="27" t="inlineStr">
        <is>
          <t>LIVE</t>
        </is>
      </c>
      <c r="I20" s="28" t="inlineStr">
        <is>
          <t>SALE-0280</t>
        </is>
      </c>
    </row>
    <row r="21" ht="30" customHeight="1">
      <c r="A21" s="29" t="inlineStr">
        <is>
          <t>Follow-ups Sent</t>
        </is>
      </c>
      <c r="B21" s="37" t="n"/>
      <c r="C21" s="31" t="inlineStr">
        <is>
          <t>count</t>
        </is>
      </c>
      <c r="D21" s="31" t="inlineStr">
        <is>
          <t>AGGREGATED</t>
        </is>
      </c>
      <c r="E21" s="32" t="inlineStr">
        <is>
          <t>sum(followups_sent) or null</t>
        </is>
      </c>
      <c r="F21" s="32" t="inlineStr">
        <is>
          <t>optionalMetric("followups_sent"), activity-module.tsx:1188</t>
        </is>
      </c>
      <c r="G21" s="32" t="inlineStr">
        <is>
          <t>Page date-range picker</t>
        </is>
      </c>
      <c r="H21" s="27" t="inlineStr">
        <is>
          <t>LIVE</t>
        </is>
      </c>
      <c r="I21" s="33" t="inlineStr">
        <is>
          <t>SALE-0281</t>
        </is>
      </c>
    </row>
    <row r="22" ht="30" customHeight="1">
      <c r="A22" s="23" t="inlineStr">
        <is>
          <t>Calls Booked</t>
        </is>
      </c>
      <c r="B22" s="37" t="n"/>
      <c r="C22" s="25" t="inlineStr">
        <is>
          <t>count</t>
        </is>
      </c>
      <c r="D22" s="25" t="inlineStr">
        <is>
          <t>AGGREGATED</t>
        </is>
      </c>
      <c r="E22" s="26" t="inlineStr">
        <is>
          <t>sum(calls_on_calendar)</t>
        </is>
      </c>
      <c r="F22" s="26" t="inlineStr">
        <is>
          <t>setter_activity.calls_on_calendar (var 'onCalendar'), activity-module.tsx:1198</t>
        </is>
      </c>
      <c r="G22" s="26" t="inlineStr">
        <is>
          <t>Page date-range picker</t>
        </is>
      </c>
      <c r="H22" s="27" t="inlineStr">
        <is>
          <t>LIVE</t>
        </is>
      </c>
      <c r="I22" s="28" t="inlineStr">
        <is>
          <t>SALE-0282</t>
        </is>
      </c>
    </row>
    <row r="23" ht="30" customHeight="1">
      <c r="A23" s="29" t="inlineStr">
        <is>
          <t>Showed</t>
        </is>
      </c>
      <c r="B23" s="37" t="n"/>
      <c r="C23" s="31" t="inlineStr">
        <is>
          <t>count</t>
        </is>
      </c>
      <c r="D23" s="31" t="inlineStr">
        <is>
          <t>AGGREGATED</t>
        </is>
      </c>
      <c r="E23" s="32" t="inlineStr">
        <is>
          <t>sum(live_calls)</t>
        </is>
      </c>
      <c r="F23" s="32" t="inlineStr">
        <is>
          <t>setter_activity.live_calls, activity-module.tsx:1199</t>
        </is>
      </c>
      <c r="G23" s="32" t="inlineStr">
        <is>
          <t>Page date-range picker</t>
        </is>
      </c>
      <c r="H23" s="27" t="inlineStr">
        <is>
          <t>LIVE</t>
        </is>
      </c>
      <c r="I23" s="33" t="inlineStr">
        <is>
          <t>SALE-0283</t>
        </is>
      </c>
    </row>
    <row r="24" ht="30" customHeight="1">
      <c r="A24" s="23" t="inlineStr">
        <is>
          <t>Closes</t>
        </is>
      </c>
      <c r="B24" s="37" t="n"/>
      <c r="C24" s="25" t="inlineStr">
        <is>
          <t>count</t>
        </is>
      </c>
      <c r="D24" s="25" t="inlineStr">
        <is>
          <t>AGGREGATED</t>
        </is>
      </c>
      <c r="E24" s="26" t="inlineStr">
        <is>
          <t>sum(closes)</t>
        </is>
      </c>
      <c r="F24" s="26" t="inlineStr">
        <is>
          <t>setter_activity.closes, activity-module.tsx:1200</t>
        </is>
      </c>
      <c r="G24" s="26" t="inlineStr">
        <is>
          <t>Page date-range picker</t>
        </is>
      </c>
      <c r="H24" s="27" t="inlineStr">
        <is>
          <t>LIVE</t>
        </is>
      </c>
      <c r="I24" s="28" t="inlineStr">
        <is>
          <t>SALE-0284</t>
        </is>
      </c>
    </row>
    <row r="25" ht="30" customHeight="1">
      <c r="A25" s="29" t="inlineStr">
        <is>
          <t>Disqualified Leads</t>
        </is>
      </c>
      <c r="B25" s="30" t="inlineStr">
        <is>
          <t>n/a</t>
        </is>
      </c>
      <c r="C25" s="31" t="inlineStr">
        <is>
          <t>count</t>
        </is>
      </c>
      <c r="D25" s="31" t="inlineStr">
        <is>
          <t>STATUS</t>
        </is>
      </c>
      <c r="E25" s="32" t="inlineStr">
        <is>
          <t>count(distinct disqualified lead ids attributed to this role's roster) + separate 'unattributed' count for lead_id-less calls</t>
        </is>
      </c>
      <c r="F25" s="32" t="inlineStr">
        <is>
          <t>leads.status='disqualified' OR linked calls.status='disqualified', deduped by lead id via src/lib/disqualification.ts:57-95 (computeDisqualified), fetch at activity-module.tsx:682-699, roster join 714-756</t>
        </is>
      </c>
      <c r="G25" s="32" t="inlineStr">
        <is>
          <t>Page date-range picker (on leads.created_at / call linkage)</t>
        </is>
      </c>
      <c r="H25" s="27" t="inlineStr">
        <is>
          <t>LIVE</t>
        </is>
      </c>
      <c r="I25" s="33" t="inlineStr">
        <is>
          <t>SALE-0285</t>
        </is>
      </c>
    </row>
    <row r="26" ht="30" customHeight="1">
      <c r="A26" s="23" t="inlineStr">
        <is>
          <t>Downsells</t>
        </is>
      </c>
      <c r="B26" s="37" t="n"/>
      <c r="C26" s="25" t="inlineStr">
        <is>
          <t>count</t>
        </is>
      </c>
      <c r="D26" s="25" t="inlineStr">
        <is>
          <t>AGGREGATED</t>
        </is>
      </c>
      <c r="E26" s="26" t="inlineStr">
        <is>
          <t>sum(downsells)</t>
        </is>
      </c>
      <c r="F26" s="26" t="inlineStr">
        <is>
          <t>setter_activity.downsells, activity-module.tsx:1201, own KpiBand 2201-2217</t>
        </is>
      </c>
      <c r="G26" s="26" t="inlineStr">
        <is>
          <t>Page date-range picker</t>
        </is>
      </c>
      <c r="H26" s="27" t="inlineStr">
        <is>
          <t>LIVE</t>
        </is>
      </c>
      <c r="I26" s="28" t="inlineStr">
        <is>
          <t>SALE-0286</t>
        </is>
      </c>
    </row>
    <row r="27" ht="6" customHeight="1"/>
    <row r="28" ht="20" customHeight="1">
      <c r="A28" s="22" t="inlineStr">
        <is>
          <t>DM ASSETS</t>
        </is>
      </c>
    </row>
    <row r="29" ht="30" customHeight="1">
      <c r="A29" s="29" t="inlineStr">
        <is>
          <t>Links Sent</t>
        </is>
      </c>
      <c r="B29" s="37" t="n"/>
      <c r="C29" s="31" t="inlineStr">
        <is>
          <t>count</t>
        </is>
      </c>
      <c r="D29" s="31" t="inlineStr">
        <is>
          <t>RAW</t>
        </is>
      </c>
      <c r="E29" s="32" t="inlineStr">
        <is>
          <t>sum(links_sent)</t>
        </is>
      </c>
      <c r="F29" s="32" t="inlineStr">
        <is>
          <t>setter_activity.links_sent, activity-module.tsx:1195 sum("links_sent")</t>
        </is>
      </c>
      <c r="G29" s="32" t="inlineStr">
        <is>
          <t>Page date-range picker</t>
        </is>
      </c>
      <c r="H29" s="27" t="inlineStr">
        <is>
          <t>LIVE</t>
        </is>
      </c>
      <c r="I29" s="33" t="inlineStr">
        <is>
          <t>SALE-0287</t>
        </is>
      </c>
    </row>
    <row r="30" ht="30" customHeight="1">
      <c r="A30" s="23" t="inlineStr">
        <is>
          <t>Links Clicked</t>
        </is>
      </c>
      <c r="B30" s="37" t="n"/>
      <c r="C30" s="25" t="inlineStr">
        <is>
          <t>count</t>
        </is>
      </c>
      <c r="D30" s="25" t="inlineStr">
        <is>
          <t>RAW</t>
        </is>
      </c>
      <c r="E30" s="26" t="inlineStr">
        <is>
          <t>sum(links_clicked) or null if never logged</t>
        </is>
      </c>
      <c r="F30" s="26" t="inlineStr">
        <is>
          <t>optionalMetric("links_clicked"), activity-module.tsx:1189, column added by supabase/migrations/20260903161218_phase2...sql:15</t>
        </is>
      </c>
      <c r="G30" s="26" t="inlineStr">
        <is>
          <t>Page date-range picker</t>
        </is>
      </c>
      <c r="H30" s="27" t="inlineStr">
        <is>
          <t>LIVE</t>
        </is>
      </c>
      <c r="I30" s="28" t="inlineStr">
        <is>
          <t>SALE-0288</t>
        </is>
      </c>
    </row>
    <row r="31" ht="30" customHeight="1">
      <c r="A31" s="29" t="inlineStr">
        <is>
          <t>Post-booking Visits</t>
        </is>
      </c>
      <c r="B31" s="37" t="n"/>
      <c r="C31" s="31" t="inlineStr">
        <is>
          <t>count</t>
        </is>
      </c>
      <c r="D31" s="31" t="inlineStr">
        <is>
          <t>RAW</t>
        </is>
      </c>
      <c r="E31" s="32" t="inlineStr">
        <is>
          <t>sum(post_booking_page_visits) or null</t>
        </is>
      </c>
      <c r="F31" s="32" t="inlineStr">
        <is>
          <t>optionalMetric("post_booking_page_visits"), activity-module.tsx:1190, column from phase2 migration:16</t>
        </is>
      </c>
      <c r="G31" s="32" t="inlineStr">
        <is>
          <t>Page date-range picker</t>
        </is>
      </c>
      <c r="H31" s="27" t="inlineStr">
        <is>
          <t>LIVE</t>
        </is>
      </c>
      <c r="I31" s="33" t="inlineStr">
        <is>
          <t>SALE-0289</t>
        </is>
      </c>
    </row>
    <row r="32" ht="30" customHeight="1">
      <c r="A32" s="23" t="inlineStr">
        <is>
          <t>Pre-call Watches</t>
        </is>
      </c>
      <c r="B32" s="37" t="n"/>
      <c r="C32" s="25" t="inlineStr">
        <is>
          <t>count</t>
        </is>
      </c>
      <c r="D32" s="25" t="inlineStr">
        <is>
          <t>RAW</t>
        </is>
      </c>
      <c r="E32" s="26" t="inlineStr">
        <is>
          <t>sum(pre_call_video_watches) or null</t>
        </is>
      </c>
      <c r="F32" s="26" t="inlineStr">
        <is>
          <t>optionalMetric("pre_call_video_watches"), activity-module.tsx:1191, column from phase2 migration:17, manual form field 2604-2607</t>
        </is>
      </c>
      <c r="G32" s="26" t="inlineStr">
        <is>
          <t>Page date-range picker</t>
        </is>
      </c>
      <c r="H32" s="27" t="inlineStr">
        <is>
          <t>LIVE</t>
        </is>
      </c>
      <c r="I32" s="28" t="inlineStr">
        <is>
          <t>SALE-0290</t>
        </is>
      </c>
    </row>
    <row r="33" ht="6" customHeight="1"/>
    <row r="34" ht="20" customHeight="1">
      <c r="A34" s="22" t="inlineStr">
        <is>
          <t>FUNNELS</t>
        </is>
      </c>
    </row>
    <row r="35" ht="30" customHeight="1">
      <c r="A35" s="29" t="inlineStr">
        <is>
          <t>Inbound Leads → Qualified Convos → Sets; Calls on Calendar → Showed → Closes</t>
        </is>
      </c>
      <c r="B35" s="37" t="n"/>
      <c r="C35" s="31" t="inlineStr">
        <is>
          <t>count (stage values)</t>
        </is>
      </c>
      <c r="D35" s="31" t="inlineStr">
        <is>
          <t>DERIVED</t>
        </is>
      </c>
      <c r="E35" s="32" t="inlineStr">
        <is>
          <t>Two funnel sequences built directly from the Key Metrics sums (contacted→qualified→sets; calls_on_calendar→live_calls→closes) — no separate query</t>
        </is>
      </c>
      <c r="F35" s="32" t="inlineStr">
        <is>
          <t>activity-module.tsx:1667-1676 (reachStages, setter) + 1718-1722 (closeStages)</t>
        </is>
      </c>
      <c r="G35" s="32" t="inlineStr">
        <is>
          <t>Page date-range picker</t>
        </is>
      </c>
      <c r="H35" s="27" t="inlineStr">
        <is>
          <t>LIVE</t>
        </is>
      </c>
      <c r="I35" s="33" t="inlineStr">
        <is>
          <t>SALE-0291</t>
        </is>
      </c>
    </row>
    <row r="36" ht="6" customHeight="1"/>
    <row r="37" ht="20" customHeight="1">
      <c r="A37" s="22" t="inlineStr">
        <is>
          <t>MONEY</t>
        </is>
      </c>
    </row>
    <row r="38" ht="30" customHeight="1">
      <c r="A38" s="23" t="inlineStr">
        <is>
          <t>Cash Collected vs Revenue Generated</t>
        </is>
      </c>
      <c r="B38" s="37" t="n"/>
      <c r="C38" s="25" t="inlineStr">
        <is>
          <t xml:space="preserve"> total_revenue_cents}</t>
        </is>
      </c>
      <c r="D38" s="25" t="inlineStr">
        <is>
          <t>DERIVED</t>
        </is>
      </c>
      <c r="E38" s="26" t="inlineStr">
        <is>
          <t>Per-day series of {cash_collected_cents</t>
        </is>
      </c>
      <c r="F38" s="26" t="inlineStr">
        <is>
          <t>dailySeries() over cash_collected_cents/total_revenue_cents, activity-module.tsx:1845-1849 (moneySeries), src/lib/trend.ts</t>
        </is>
      </c>
      <c r="G38" s="26" t="inlineStr">
        <is>
          <t>$ (time series)</t>
        </is>
      </c>
      <c r="H38" s="27" t="inlineStr">
        <is>
          <t>LIVE</t>
        </is>
      </c>
      <c r="I38" s="28" t="inlineStr">
        <is>
          <t>SALE-0292</t>
        </is>
      </c>
    </row>
    <row r="39" ht="30" customHeight="1">
      <c r="A39" s="29" t="inlineStr">
        <is>
          <t>Cash collected rate</t>
        </is>
      </c>
      <c r="B39" s="35">
        <f>IF(N(B15)=0,"",B14/B15)</f>
        <v/>
      </c>
      <c r="C39" s="31" t="inlineStr">
        <is>
          <t>%</t>
        </is>
      </c>
      <c r="D39" s="31" t="inlineStr">
        <is>
          <t>DERIVED</t>
        </is>
      </c>
      <c r="E39" s="32" t="inlineStr">
        <is>
          <t>cashCents ÷ revCents × 100</t>
        </is>
      </c>
      <c r="F39" s="32" t="inlineStr">
        <is>
          <t>activity-module.tsx:2300 cashRatePct = revCents ? (cashCents/revCents)*100 : 0</t>
        </is>
      </c>
      <c r="G39" s="32" t="inlineStr">
        <is>
          <t>Page date-range picker</t>
        </is>
      </c>
      <c r="H39" s="27" t="inlineStr">
        <is>
          <t>LIVE</t>
        </is>
      </c>
      <c r="I39" s="33" t="inlineStr">
        <is>
          <t>SALE-0293</t>
        </is>
      </c>
    </row>
    <row r="40" ht="30" customHeight="1">
      <c r="A40" s="23" t="inlineStr">
        <is>
          <t>Payout owed</t>
        </is>
      </c>
      <c r="B40" s="34" t="n"/>
      <c r="C40" s="25" t="inlineStr">
        <is>
          <t>$ (cents)</t>
        </is>
      </c>
      <c r="D40" s="25" t="inlineStr">
        <is>
          <t>DERIVED</t>
        </is>
      </c>
      <c r="E40" s="26" t="inlineStr">
        <is>
          <t>cashCents × 0.05 (5% is a hardcoded literal)</t>
        </is>
      </c>
      <c r="F40" s="26" t="inlineStr">
        <is>
          <t>activity-module.tsx:2298-2299 payoutPct={5}, payoutCents={cashCents * 0.05}</t>
        </is>
      </c>
      <c r="G40" s="26" t="inlineStr">
        <is>
          <t>Page date-range picker</t>
        </is>
      </c>
      <c r="H40" s="27" t="inlineStr">
        <is>
          <t>LIVE</t>
        </is>
      </c>
      <c r="I40" s="28" t="inlineStr">
        <is>
          <t>SALE-0294</t>
        </is>
      </c>
    </row>
    <row r="41" ht="6" customHeight="1"/>
    <row r="42" ht="20" customHeight="1">
      <c r="A42" s="22" t="inlineStr">
        <is>
          <t>RATE CHARTS</t>
        </is>
      </c>
    </row>
    <row r="43" ht="30" customHeight="1">
      <c r="A43" s="29" t="inlineStr">
        <is>
          <t>Qualified Convo Rate</t>
        </is>
      </c>
      <c r="B43" s="35">
        <f>IF(N(B16)=0,"",B17/B16)</f>
        <v/>
      </c>
      <c r="C43" s="31" t="inlineStr">
        <is>
          <t>%</t>
        </is>
      </c>
      <c r="D43" s="31" t="inlineStr">
        <is>
          <t>DERIVED</t>
        </is>
      </c>
      <c r="E43" s="32" t="inlineStr">
        <is>
          <t>qualified_convos ÷ leads_contacted × 100</t>
        </is>
      </c>
      <c r="F43" s="32" t="inlineStr">
        <is>
          <t>activity-module.tsx:2097-2099 qualPct = contacted ? (qualified/contacted)*100 : 0</t>
        </is>
      </c>
      <c r="G43" s="32" t="inlineStr">
        <is>
          <t>Page date-range picker</t>
        </is>
      </c>
      <c r="H43" s="27" t="inlineStr">
        <is>
          <t>LIVE</t>
        </is>
      </c>
      <c r="I43" s="33" t="inlineStr">
        <is>
          <t>SALE-0295</t>
        </is>
      </c>
    </row>
    <row r="44" ht="30" customHeight="1">
      <c r="A44" s="23" t="inlineStr">
        <is>
          <t>Set Rate</t>
        </is>
      </c>
      <c r="B44" s="35">
        <f>IF(N(B17)=0,"",B18/B17)</f>
        <v/>
      </c>
      <c r="C44" s="25" t="inlineStr">
        <is>
          <t>%</t>
        </is>
      </c>
      <c r="D44" s="25" t="inlineStr">
        <is>
          <t>DERIVED</t>
        </is>
      </c>
      <c r="E44" s="26" t="inlineStr">
        <is>
          <t>sets ÷ qualified_convos × 100</t>
        </is>
      </c>
      <c r="F44" s="26" t="inlineStr">
        <is>
          <t>activity-module.tsx:2101 setPct = qualified ? (sets/qualified)*100 : 0</t>
        </is>
      </c>
      <c r="G44" s="26" t="inlineStr">
        <is>
          <t>Page date-range picker</t>
        </is>
      </c>
      <c r="H44" s="27" t="inlineStr">
        <is>
          <t>LIVE</t>
        </is>
      </c>
      <c r="I44" s="28" t="inlineStr">
        <is>
          <t>SALE-0296</t>
        </is>
      </c>
    </row>
    <row r="45" ht="30" customHeight="1">
      <c r="A45" s="29" t="inlineStr">
        <is>
          <t>Show Rate</t>
        </is>
      </c>
      <c r="B45" s="35">
        <f>IF(N(B65)=0,"",B23/B65)</f>
        <v/>
      </c>
      <c r="C45" s="31" t="inlineStr">
        <is>
          <t>%</t>
        </is>
      </c>
      <c r="D45" s="31" t="inlineStr">
        <is>
          <t>DERIVED</t>
        </is>
      </c>
      <c r="E45" s="32" t="inlineStr">
        <is>
          <t>live_calls ÷ calls_on_calendar × 100</t>
        </is>
      </c>
      <c r="F45" s="32" t="inlineStr">
        <is>
          <t>activity-module.tsx:2103 showPct = onCalendar ? (showed/onCalendar)*100 : 0</t>
        </is>
      </c>
      <c r="G45" s="32" t="inlineStr">
        <is>
          <t>Page date-range picker</t>
        </is>
      </c>
      <c r="H45" s="27" t="inlineStr">
        <is>
          <t>LIVE</t>
        </is>
      </c>
      <c r="I45" s="33" t="inlineStr">
        <is>
          <t>SALE-0297</t>
        </is>
      </c>
    </row>
    <row r="46" ht="30" customHeight="1">
      <c r="A46" s="23" t="inlineStr">
        <is>
          <t>Close Rate</t>
        </is>
      </c>
      <c r="B46" s="35">
        <f>IF(N(B23)=0,"",B24/B23)</f>
        <v/>
      </c>
      <c r="C46" s="25" t="inlineStr">
        <is>
          <t>%</t>
        </is>
      </c>
      <c r="D46" s="25" t="inlineStr">
        <is>
          <t>DERIVED</t>
        </is>
      </c>
      <c r="E46" s="26" t="inlineStr">
        <is>
          <t>closes ÷ live_calls (Showed) × 100</t>
        </is>
      </c>
      <c r="F46" s="26" t="inlineStr">
        <is>
          <t>activity-module.tsx:2105 closeRatePct = showed ? (closes/showed)*100 : 0</t>
        </is>
      </c>
      <c r="G46" s="26" t="inlineStr">
        <is>
          <t>Page date-range picker</t>
        </is>
      </c>
      <c r="H46" s="27" t="inlineStr">
        <is>
          <t>LIVE</t>
        </is>
      </c>
      <c r="I46" s="28" t="inlineStr">
        <is>
          <t>SALE-0298</t>
        </is>
      </c>
    </row>
    <row r="47" ht="6" customHeight="1"/>
    <row r="48" ht="20" customHeight="1">
      <c r="A48" s="22" t="inlineStr">
        <is>
          <t>REPLY PERFORMANCE</t>
        </is>
      </c>
    </row>
    <row r="49" ht="30" customHeight="1">
      <c r="A49" s="29" t="inlineStr">
        <is>
          <t>Replies</t>
        </is>
      </c>
      <c r="B49" s="37" t="n"/>
      <c r="C49" s="31" t="inlineStr">
        <is>
          <t>count</t>
        </is>
      </c>
      <c r="D49" s="31" t="inlineStr">
        <is>
          <t>RAW</t>
        </is>
      </c>
      <c r="E49" s="32" t="inlineStr">
        <is>
          <t>sum(replies) or null</t>
        </is>
      </c>
      <c r="F49" s="32" t="inlineStr">
        <is>
          <t>optionalMetric("replies"), activity-module.tsx:1187, manual form field 2584-2585</t>
        </is>
      </c>
      <c r="G49" s="32" t="inlineStr">
        <is>
          <t>Page date-range picker</t>
        </is>
      </c>
      <c r="H49" s="27" t="inlineStr">
        <is>
          <t>LIVE</t>
        </is>
      </c>
      <c r="I49" s="33" t="inlineStr">
        <is>
          <t>SALE-0299</t>
        </is>
      </c>
    </row>
    <row r="50" ht="30" customHeight="1">
      <c r="A50" s="23" t="inlineStr">
        <is>
          <t>Reply Rate</t>
        </is>
      </c>
      <c r="B50" s="35">
        <f>IF(N(B20)=0,"",B49/B20)</f>
        <v/>
      </c>
      <c r="C50" s="25" t="inlineStr">
        <is>
          <t>%</t>
        </is>
      </c>
      <c r="D50" s="25" t="inlineStr">
        <is>
          <t>DERIVED</t>
        </is>
      </c>
      <c r="E50" s="26" t="inlineStr">
        <is>
          <t>replies ÷ outbound_dms_sent × 100 (""Unavailable"" if either is null/zero)</t>
        </is>
      </c>
      <c r="F50" s="26" t="inlineStr">
        <is>
          <t>activity-module.tsx:2719-2722</t>
        </is>
      </c>
      <c r="G50" s="26" t="inlineStr">
        <is>
          <t>Page date-range picker</t>
        </is>
      </c>
      <c r="H50" s="27" t="inlineStr">
        <is>
          <t>LIVE</t>
        </is>
      </c>
      <c r="I50" s="28" t="inlineStr">
        <is>
          <t>SALE-0300</t>
        </is>
      </c>
    </row>
    <row r="51" ht="30" customHeight="1">
      <c r="A51" s="29" t="inlineStr">
        <is>
          <t>Positive-Intent Replies</t>
        </is>
      </c>
      <c r="B51" s="30" t="inlineStr">
        <is>
          <t>n/a</t>
        </is>
      </c>
      <c r="C51" s="31" t="inlineStr">
        <is>
          <t>N/A</t>
        </is>
      </c>
      <c r="D51" s="31" t="inlineStr">
        <is>
          <t>OTHER</t>
        </is>
      </c>
      <c r="E51" s="32" t="inlineStr">
        <is>
          <t>value literal ""Not Tracked"" — no computation</t>
        </is>
      </c>
      <c r="F51" s="32" t="inlineStr">
        <is>
          <t>activity-module.tsx:2758-2764, hardcoded</t>
        </is>
      </c>
      <c r="G51" s="32" t="inlineStr">
        <is>
          <t>N/A</t>
        </is>
      </c>
      <c r="H51" s="36" t="inlineStr">
        <is>
          <t>NOT AVAILABLE</t>
        </is>
      </c>
      <c r="I51" s="33" t="inlineStr">
        <is>
          <t>SALE-0301</t>
        </is>
      </c>
    </row>
    <row r="52" ht="6" customHeight="1"/>
    <row r="53" ht="20" customHeight="1">
      <c r="A53" s="22" t="inlineStr">
        <is>
          <t>WORKFLOW PANEL</t>
        </is>
      </c>
    </row>
    <row r="54" ht="30" customHeight="1">
      <c r="A54" s="23" t="inlineStr">
        <is>
          <t>Inbound DMs</t>
        </is>
      </c>
      <c r="B54" s="24" t="inlineStr">
        <is>
          <t>n/a</t>
        </is>
      </c>
      <c r="C54" s="25" t="inlineStr">
        <is>
          <t xml:space="preserve"> not a numeric aggregation of any DM count</t>
        </is>
      </c>
      <c r="D54" s="25" t="inlineStr">
        <is>
          <t>OTHER</t>
        </is>
      </c>
      <c r="E54" s="26" t="inlineStr">
        <is>
          <t>Hardcoded string</t>
        </is>
      </c>
      <c r="F54" s="26" t="inlineStr">
        <is>
          <t>src/components/operational-workflow-panel.tsx:94-98, static Stage value="Verified activity"</t>
        </is>
      </c>
      <c r="G54" s="26" t="inlineStr">
        <is>
          <t>N/A</t>
        </is>
      </c>
      <c r="H54" s="36" t="inlineStr">
        <is>
          <t>PLACEHOLDER</t>
        </is>
      </c>
      <c r="I54" s="28" t="inlineStr">
        <is>
          <t>SALE-0302</t>
        </is>
      </c>
    </row>
    <row r="55" ht="30" customHeight="1">
      <c r="A55" s="29" t="inlineStr">
        <is>
          <t>Qualified convos</t>
        </is>
      </c>
      <c r="B55" s="37" t="n"/>
      <c r="C55" s="31" t="inlineStr">
        <is>
          <t>count</t>
        </is>
      </c>
      <c r="D55" s="31" t="inlineStr">
        <is>
          <t>AGGREGATED</t>
        </is>
      </c>
      <c r="E55" s="32" t="inlineStr">
        <is>
          <t>Same sum(qualified_convos) as SALE-0277</t>
        </is>
      </c>
      <c r="F55" s="32" t="inlineStr">
        <is>
          <t>activity-module.tsx:3372, prop qualified={qualified}</t>
        </is>
      </c>
      <c r="G55" s="32" t="inlineStr">
        <is>
          <t>Page date-range picker</t>
        </is>
      </c>
      <c r="H55" s="27" t="inlineStr">
        <is>
          <t>LIVE</t>
        </is>
      </c>
      <c r="I55" s="33" t="inlineStr">
        <is>
          <t>SALE-0303</t>
        </is>
      </c>
    </row>
    <row r="56" ht="30" customHeight="1">
      <c r="A56" s="23" t="inlineStr">
        <is>
          <t>Sets</t>
        </is>
      </c>
      <c r="B56" s="37" t="n"/>
      <c r="C56" s="25" t="inlineStr">
        <is>
          <t>count</t>
        </is>
      </c>
      <c r="D56" s="25" t="inlineStr">
        <is>
          <t>AGGREGATED</t>
        </is>
      </c>
      <c r="E56" s="26" t="inlineStr">
        <is>
          <t>Same sum(sets) as SALE-0278</t>
        </is>
      </c>
      <c r="F56" s="26" t="inlineStr">
        <is>
          <t>activity-module.tsx:3373, prop sets={sets}</t>
        </is>
      </c>
      <c r="G56" s="26" t="inlineStr">
        <is>
          <t>Page date-range picker</t>
        </is>
      </c>
      <c r="H56" s="27" t="inlineStr">
        <is>
          <t>LIVE</t>
        </is>
      </c>
      <c r="I56" s="28" t="inlineStr">
        <is>
          <t>SALE-0304</t>
        </is>
      </c>
    </row>
    <row r="57" ht="30" customHeight="1">
      <c r="A57" s="29" t="inlineStr">
        <is>
          <t>Booked calls</t>
        </is>
      </c>
      <c r="B57" s="37" t="n"/>
      <c r="C57" s="31" t="inlineStr">
        <is>
          <t>count</t>
        </is>
      </c>
      <c r="D57" s="31" t="inlineStr">
        <is>
          <t>AGGREGATED</t>
        </is>
      </c>
      <c r="E57" s="32" t="inlineStr">
        <is>
          <t>Same sum(calls_on_calendar) as SALE-0282</t>
        </is>
      </c>
      <c r="F57" s="32" t="inlineStr">
        <is>
          <t>activity-module.tsx:3374, prop booked={onCalendar}</t>
        </is>
      </c>
      <c r="G57" s="32" t="inlineStr">
        <is>
          <t>Page date-range picker</t>
        </is>
      </c>
      <c r="H57" s="27" t="inlineStr">
        <is>
          <t>LIVE</t>
        </is>
      </c>
      <c r="I57" s="33" t="inlineStr">
        <is>
          <t>SALE-0305</t>
        </is>
      </c>
    </row>
    <row r="58" ht="30" customHeight="1">
      <c r="A58" s="23" t="inlineStr">
        <is>
          <t>Closes</t>
        </is>
      </c>
      <c r="B58" s="37" t="n"/>
      <c r="C58" s="25" t="inlineStr">
        <is>
          <t>count</t>
        </is>
      </c>
      <c r="D58" s="25" t="inlineStr">
        <is>
          <t>AGGREGATED</t>
        </is>
      </c>
      <c r="E58" s="26" t="inlineStr">
        <is>
          <t>Same sum(closes) as SALE-0284</t>
        </is>
      </c>
      <c r="F58" s="26" t="inlineStr">
        <is>
          <t>activity-module.tsx:3375, prop closes={closes}</t>
        </is>
      </c>
      <c r="G58" s="26" t="inlineStr">
        <is>
          <t>Page date-range picker</t>
        </is>
      </c>
      <c r="H58" s="27" t="inlineStr">
        <is>
          <t>LIVE</t>
        </is>
      </c>
      <c r="I58" s="28" t="inlineStr">
        <is>
          <t>SALE-0306</t>
        </is>
      </c>
    </row>
    <row r="59" ht="30" customHeight="1">
      <c r="A59" s="29" t="inlineStr">
        <is>
          <t>Cash</t>
        </is>
      </c>
      <c r="B59" s="34" t="n"/>
      <c r="C59" s="31" t="inlineStr">
        <is>
          <t>$</t>
        </is>
      </c>
      <c r="D59" s="31" t="inlineStr">
        <is>
          <t>AGGREGATED</t>
        </is>
      </c>
      <c r="E59" s="32" t="inlineStr">
        <is>
          <t>Same sum(cash_collected_cents) as SALE-0274</t>
        </is>
      </c>
      <c r="F59" s="32" t="inlineStr">
        <is>
          <t>activity-module.tsx:3376, prop cashLabel={money(cashCents)}</t>
        </is>
      </c>
      <c r="G59" s="32" t="inlineStr">
        <is>
          <t>Page date-range picker</t>
        </is>
      </c>
      <c r="H59" s="27" t="inlineStr">
        <is>
          <t>LIVE</t>
        </is>
      </c>
      <c r="I59" s="33" t="inlineStr">
        <is>
          <t>SALE-0307</t>
        </is>
      </c>
    </row>
    <row r="60" ht="6" customHeight="1"/>
    <row r="61" ht="20" customHeight="1">
      <c r="A61" s="22" t="inlineStr">
        <is>
          <t>DM SOURCE MIX</t>
        </is>
      </c>
    </row>
    <row r="62" ht="30" customHeight="1">
      <c r="A62" s="23" t="inlineStr">
        <is>
          <t>Platform</t>
        </is>
      </c>
      <c r="B62" s="24" t="inlineStr">
        <is>
          <t>n/a</t>
        </is>
      </c>
      <c r="C62" s="25" t="inlineStr">
        <is>
          <t xml:space="preserve"> e=&gt;e.source_platform)</t>
        </is>
      </c>
      <c r="D62" s="25" t="inlineStr">
        <is>
          <t>DIMENSION</t>
        </is>
      </c>
      <c r="E62" s="26" t="inlineStr">
        <is>
          <t>Grouped via groupBySourcePlatform(speedEvents</t>
        </is>
      </c>
      <c r="F62" s="26" t="inlineStr">
        <is>
          <t>lead_response_events.source_platform, normalizeSocialPlatform() — but the underlying query is gated enabled: isDialer &amp;&amp; ... (activity-module.tsx:1016)</t>
        </is>
      </c>
      <c r="G62" s="26" t="inlineStr">
        <is>
          <t>category</t>
        </is>
      </c>
      <c r="H62" s="40" t="inlineStr">
        <is>
          <t>NEEDS INTEGRATION</t>
        </is>
      </c>
      <c r="I62" s="28" t="inlineStr">
        <is>
          <t>SALE-0308</t>
        </is>
      </c>
    </row>
    <row r="63" ht="30" customHeight="1">
      <c r="A63" s="29" t="inlineStr">
        <is>
          <t>Conversations</t>
        </is>
      </c>
      <c r="B63" s="37" t="n"/>
      <c r="C63" s="31" t="inlineStr">
        <is>
          <t>count</t>
        </is>
      </c>
      <c r="D63" s="31" t="inlineStr">
        <is>
          <t>AGGREGATED</t>
        </is>
      </c>
      <c r="E63" s="32" t="inlineStr">
        <is>
          <t>rowsForPlatform.length</t>
        </is>
      </c>
      <c r="F63" s="32" t="inlineStr">
        <is>
          <t>Same broken query as SALE-0308</t>
        </is>
      </c>
      <c r="G63" s="32" t="inlineStr">
        <is>
          <t>Page date-range picker</t>
        </is>
      </c>
      <c r="H63" s="40" t="inlineStr">
        <is>
          <t>NEEDS INTEGRATION</t>
        </is>
      </c>
      <c r="I63" s="33" t="inlineStr">
        <is>
          <t>SALE-0309</t>
        </is>
      </c>
    </row>
    <row r="64" ht="30" customHeight="1">
      <c r="A64" s="23" t="inlineStr">
        <is>
          <t>Qualified</t>
        </is>
      </c>
      <c r="B64" s="37" t="n"/>
      <c r="C64" s="25" t="inlineStr">
        <is>
          <t>count</t>
        </is>
      </c>
      <c r="D64" s="25" t="inlineStr">
        <is>
          <t>AGGREGATED</t>
        </is>
      </c>
      <c r="E64" s="26" t="inlineStr">
        <is>
          <t>rowsForPlatform.filter(e.qualified).length</t>
        </is>
      </c>
      <c r="F64" s="26" t="inlineStr">
        <is>
          <t>Same broken query</t>
        </is>
      </c>
      <c r="G64" s="26" t="inlineStr">
        <is>
          <t>Page date-range picker</t>
        </is>
      </c>
      <c r="H64" s="40" t="inlineStr">
        <is>
          <t>NEEDS INTEGRATION</t>
        </is>
      </c>
      <c r="I64" s="28" t="inlineStr">
        <is>
          <t>SALE-0310</t>
        </is>
      </c>
    </row>
    <row r="65" ht="30" customHeight="1">
      <c r="A65" s="29" t="inlineStr">
        <is>
          <t>Booked</t>
        </is>
      </c>
      <c r="B65" s="37" t="n"/>
      <c r="C65" s="31" t="inlineStr">
        <is>
          <t>count</t>
        </is>
      </c>
      <c r="D65" s="31" t="inlineStr">
        <is>
          <t>AGGREGATED</t>
        </is>
      </c>
      <c r="E65" s="32" t="inlineStr">
        <is>
          <t>rowsForPlatform.filter(e.set || e.booked_call).length</t>
        </is>
      </c>
      <c r="F65" s="32" t="inlineStr">
        <is>
          <t>Same broken query</t>
        </is>
      </c>
      <c r="G65" s="32" t="inlineStr">
        <is>
          <t>Page date-range picker</t>
        </is>
      </c>
      <c r="H65" s="40" t="inlineStr">
        <is>
          <t>NEEDS INTEGRATION</t>
        </is>
      </c>
      <c r="I65" s="33" t="inlineStr">
        <is>
          <t>SALE-0311</t>
        </is>
      </c>
    </row>
    <row r="66" ht="30" customHeight="1">
      <c r="A66" s="23" t="inlineStr">
        <is>
          <t>Shows</t>
        </is>
      </c>
      <c r="B66" s="37" t="n"/>
      <c r="C66" s="25" t="inlineStr">
        <is>
          <t>count</t>
        </is>
      </c>
      <c r="D66" s="25" t="inlineStr">
        <is>
          <t>AGGREGATED</t>
        </is>
      </c>
      <c r="E66" s="26" t="inlineStr">
        <is>
          <t>rowsForPlatform.filter(e.showed).length</t>
        </is>
      </c>
      <c r="F66" s="26" t="inlineStr">
        <is>
          <t>Same broken query</t>
        </is>
      </c>
      <c r="G66" s="26" t="inlineStr">
        <is>
          <t>Page date-range picker</t>
        </is>
      </c>
      <c r="H66" s="40" t="inlineStr">
        <is>
          <t>NEEDS INTEGRATION</t>
        </is>
      </c>
      <c r="I66" s="28" t="inlineStr">
        <is>
          <t>SALE-0312</t>
        </is>
      </c>
    </row>
    <row r="67" ht="30" customHeight="1">
      <c r="A67" s="29" t="inlineStr">
        <is>
          <t>Closes</t>
        </is>
      </c>
      <c r="B67" s="37" t="n"/>
      <c r="C67" s="31" t="inlineStr">
        <is>
          <t>count</t>
        </is>
      </c>
      <c r="D67" s="31" t="inlineStr">
        <is>
          <t>AGGREGATED</t>
        </is>
      </c>
      <c r="E67" s="32" t="inlineStr">
        <is>
          <t>rowsForPlatform.filter(e.closed).length</t>
        </is>
      </c>
      <c r="F67" s="32" t="inlineStr">
        <is>
          <t>Same broken query</t>
        </is>
      </c>
      <c r="G67" s="32" t="inlineStr">
        <is>
          <t>Page date-range picker</t>
        </is>
      </c>
      <c r="H67" s="40" t="inlineStr">
        <is>
          <t>NEEDS INTEGRATION</t>
        </is>
      </c>
      <c r="I67" s="33" t="inlineStr">
        <is>
          <t>SALE-0313</t>
        </is>
      </c>
    </row>
    <row r="68" ht="6" customHeight="1"/>
  </sheetData>
  <autoFilter ref="A4:I67"/>
  <mergeCells count="9">
    <mergeCell ref="A28:I28"/>
    <mergeCell ref="A5:I5"/>
    <mergeCell ref="A37:I37"/>
    <mergeCell ref="A13:I13"/>
    <mergeCell ref="A42:I42"/>
    <mergeCell ref="A61:I61"/>
    <mergeCell ref="A53:I53"/>
    <mergeCell ref="A34:I34"/>
    <mergeCell ref="A48:I4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Reps &gt; Inbound Dialer</t>
        </is>
      </c>
    </row>
    <row r="2">
      <c r="A2" s="21" t="inlineStr">
        <is>
          <t>53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TARGETS</t>
        </is>
      </c>
    </row>
    <row r="6" ht="30" customHeight="1">
      <c r="A6" s="23" t="inlineStr">
        <is>
          <t>Dial Attempts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sum(setter_activity.dials) in calendar period</t>
        </is>
      </c>
      <c r="F6" s="26" t="inlineStr">
        <is>
          <t>setter_activity.dials via actualFromSetterActivity (rep-kpi-actuals.ts:70-82)</t>
        </is>
      </c>
      <c r="G6" s="26" t="inlineStr">
        <is>
          <t>Calendar day/week/month as-of-today</t>
        </is>
      </c>
      <c r="H6" s="27" t="inlineStr">
        <is>
          <t>LIVE</t>
        </is>
      </c>
      <c r="I6" s="28" t="inlineStr">
        <is>
          <t>SALE-0314</t>
        </is>
      </c>
    </row>
    <row r="7" ht="30" customHeight="1">
      <c r="A7" s="29" t="inlineStr">
        <is>
          <t>Connections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sum(connections) in calendar period</t>
        </is>
      </c>
      <c r="F7" s="32" t="inlineStr">
        <is>
          <t>setter_activity.connections via actualFromSetterActivity</t>
        </is>
      </c>
      <c r="G7" s="32" t="inlineStr">
        <is>
          <t>Calendar day/week/month as-of-today</t>
        </is>
      </c>
      <c r="H7" s="27" t="inlineStr">
        <is>
          <t>LIVE</t>
        </is>
      </c>
      <c r="I7" s="33" t="inlineStr">
        <is>
          <t>SALE-0315</t>
        </is>
      </c>
    </row>
    <row r="8" ht="30" customHeight="1">
      <c r="A8" s="23" t="inlineStr">
        <is>
          <t>Leads Contacted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sum(leads_contacted) in calendar period</t>
        </is>
      </c>
      <c r="F8" s="26" t="inlineStr">
        <is>
          <t>setter_activity.leads_contacted via actualFromSetterActivity</t>
        </is>
      </c>
      <c r="G8" s="26" t="inlineStr">
        <is>
          <t>Calendar day/week/month as-of-today</t>
        </is>
      </c>
      <c r="H8" s="27" t="inlineStr">
        <is>
          <t>LIVE</t>
        </is>
      </c>
      <c r="I8" s="28" t="inlineStr">
        <is>
          <t>SALE-0316</t>
        </is>
      </c>
    </row>
    <row r="9" ht="30" customHeight="1">
      <c r="A9" s="29" t="inlineStr">
        <is>
          <t>Qualified Conversations</t>
        </is>
      </c>
      <c r="B9" s="37" t="n"/>
      <c r="C9" s="31" t="inlineStr">
        <is>
          <t>count</t>
        </is>
      </c>
      <c r="D9" s="31" t="inlineStr">
        <is>
          <t>AGGREGATED</t>
        </is>
      </c>
      <c r="E9" s="32" t="inlineStr">
        <is>
          <t>sum(qualified_convos) in calendar period</t>
        </is>
      </c>
      <c r="F9" s="32" t="inlineStr">
        <is>
          <t>setter_activity.qualified_convos, metric_key qualified_convos_dialer</t>
        </is>
      </c>
      <c r="G9" s="32" t="inlineStr">
        <is>
          <t>Calendar day/week/month as-of-today</t>
        </is>
      </c>
      <c r="H9" s="27" t="inlineStr">
        <is>
          <t>LIVE</t>
        </is>
      </c>
      <c r="I9" s="33" t="inlineStr">
        <is>
          <t>SALE-0317</t>
        </is>
      </c>
    </row>
    <row r="10" ht="30" customHeight="1">
      <c r="A10" s="23" t="inlineStr">
        <is>
          <t>Calls Booked</t>
        </is>
      </c>
      <c r="B10" s="37" t="n"/>
      <c r="C10" s="25" t="inlineStr">
        <is>
          <t>count</t>
        </is>
      </c>
      <c r="D10" s="25" t="inlineStr">
        <is>
          <t>AGGREGATED</t>
        </is>
      </c>
      <c r="E10" s="26" t="inlineStr">
        <is>
          <t>sum(calls_on_calendar) in calendar period</t>
        </is>
      </c>
      <c r="F10" s="26" t="inlineStr">
        <is>
          <t>setter_activity.calls_on_calendar, metric_key calls_on_calendar_dialer</t>
        </is>
      </c>
      <c r="G10" s="26" t="inlineStr">
        <is>
          <t>Calendar day/week/month as-of-today</t>
        </is>
      </c>
      <c r="H10" s="27" t="inlineStr">
        <is>
          <t>LIVE</t>
        </is>
      </c>
      <c r="I10" s="28" t="inlineStr">
        <is>
          <t>SALE-0318</t>
        </is>
      </c>
    </row>
    <row r="11" ht="30" customHeight="1">
      <c r="A11" s="29" t="inlineStr">
        <is>
          <t>Showed Calls</t>
        </is>
      </c>
      <c r="B11" s="37" t="n"/>
      <c r="C11" s="31" t="inlineStr">
        <is>
          <t>count</t>
        </is>
      </c>
      <c r="D11" s="31" t="inlineStr">
        <is>
          <t>AGGREGATED</t>
        </is>
      </c>
      <c r="E11" s="32" t="inlineStr">
        <is>
          <t>sum(live_calls) in calendar period</t>
        </is>
      </c>
      <c r="F11" s="32" t="inlineStr">
        <is>
          <t>setter_activity.live_calls, metric_key live_calls_dialer</t>
        </is>
      </c>
      <c r="G11" s="32" t="inlineStr">
        <is>
          <t>Calendar day/week/month as-of-today</t>
        </is>
      </c>
      <c r="H11" s="27" t="inlineStr">
        <is>
          <t>LIVE</t>
        </is>
      </c>
      <c r="I11" s="33" t="inlineStr">
        <is>
          <t>SALE-0319</t>
        </is>
      </c>
    </row>
    <row r="12" ht="30" customHeight="1">
      <c r="A12" s="23" t="inlineStr">
        <is>
          <t>Speed-to-Lead SLA Compliance</t>
        </is>
      </c>
      <c r="B12" s="24" t="inlineStr">
        <is>
          <t>n/a</t>
        </is>
      </c>
      <c r="C12" s="25" t="inlineStr">
        <is>
          <t>%</t>
        </is>
      </c>
      <c r="D12" s="25" t="inlineStr">
        <is>
          <t>OTHER</t>
        </is>
      </c>
      <c r="E12" s="26" t="inlineStr">
        <is>
          <t>actualFromSetterActivity returns null for this metric_key (col undefined → early return null)</t>
        </is>
      </c>
      <c r="F12" s="26" t="inlineStr">
        <is>
          <t>KPI_DEFINITIONS.inbound_dialer key speed_to_lead_sla_pct (kpi-targets.ts:37) — but SETTER_ACTIVITY_COLUMN (rep-kpi-actuals.ts:50-63) has no mapping for it</t>
        </is>
      </c>
      <c r="G12" s="26" t="inlineStr">
        <is>
          <t>Calendar day/week/month as-of-today</t>
        </is>
      </c>
      <c r="H12" s="36" t="inlineStr">
        <is>
          <t>NOT AVAILABLE</t>
        </is>
      </c>
      <c r="I12" s="28" t="inlineStr">
        <is>
          <t>SALE-0320</t>
        </is>
      </c>
    </row>
    <row r="13" ht="6" customHeight="1"/>
    <row r="14" ht="20" customHeight="1">
      <c r="A14" s="22" t="inlineStr">
        <is>
          <t>KEY METRICS</t>
        </is>
      </c>
    </row>
    <row r="15" ht="30" customHeight="1">
      <c r="A15" s="29" t="inlineStr">
        <is>
          <t>Cash Collected</t>
        </is>
      </c>
      <c r="B15" s="34" t="n"/>
      <c r="C15" s="31" t="inlineStr">
        <is>
          <t>$ (cents)</t>
        </is>
      </c>
      <c r="D15" s="31" t="inlineStr">
        <is>
          <t>AGGREGATED</t>
        </is>
      </c>
      <c r="E15" s="32" t="inlineStr">
        <is>
          <t>sum(cash_collected_cents)</t>
        </is>
      </c>
      <c r="F15" s="32" t="inlineStr">
        <is>
          <t>setter_activity.cash_collected_cents, activity-module.tsx:1202 sum, role='inbound_dialer'</t>
        </is>
      </c>
      <c r="G15" s="32" t="inlineStr">
        <is>
          <t>Page date-range picker</t>
        </is>
      </c>
      <c r="H15" s="27" t="inlineStr">
        <is>
          <t>LIVE</t>
        </is>
      </c>
      <c r="I15" s="33" t="inlineStr">
        <is>
          <t>SALE-0321</t>
        </is>
      </c>
    </row>
    <row r="16" ht="30" customHeight="1">
      <c r="A16" s="23" t="inlineStr">
        <is>
          <t>Revenue Generated</t>
        </is>
      </c>
      <c r="B16" s="34" t="n"/>
      <c r="C16" s="25" t="inlineStr">
        <is>
          <t>$ (cents)</t>
        </is>
      </c>
      <c r="D16" s="25" t="inlineStr">
        <is>
          <t>AGGREGATED</t>
        </is>
      </c>
      <c r="E16" s="26" t="inlineStr">
        <is>
          <t>sum(total_revenue_cents)</t>
        </is>
      </c>
      <c r="F16" s="26" t="inlineStr">
        <is>
          <t>setter_activity.total_revenue_cents sum</t>
        </is>
      </c>
      <c r="G16" s="26" t="inlineStr">
        <is>
          <t>Page date-range picker</t>
        </is>
      </c>
      <c r="H16" s="27" t="inlineStr">
        <is>
          <t>LIVE</t>
        </is>
      </c>
      <c r="I16" s="28" t="inlineStr">
        <is>
          <t>SALE-0322</t>
        </is>
      </c>
    </row>
    <row r="17" ht="30" customHeight="1">
      <c r="A17" s="29" t="inlineStr">
        <is>
          <t>Dials</t>
        </is>
      </c>
      <c r="B17" s="37" t="n"/>
      <c r="C17" s="31" t="inlineStr">
        <is>
          <t>count</t>
        </is>
      </c>
      <c r="D17" s="31" t="inlineStr">
        <is>
          <t>AGGREGATED</t>
        </is>
      </c>
      <c r="E17" s="32" t="inlineStr">
        <is>
          <t>sum(dials)</t>
        </is>
      </c>
      <c r="F17" s="32" t="inlineStr">
        <is>
          <t>setter_activity.dials, activity-module.tsx:1192 sum("dials")</t>
        </is>
      </c>
      <c r="G17" s="32" t="inlineStr">
        <is>
          <t>Page date-range picker</t>
        </is>
      </c>
      <c r="H17" s="27" t="inlineStr">
        <is>
          <t>LIVE</t>
        </is>
      </c>
      <c r="I17" s="33" t="inlineStr">
        <is>
          <t>SALE-0323</t>
        </is>
      </c>
    </row>
    <row r="18" ht="30" customHeight="1">
      <c r="A18" s="23" t="inlineStr">
        <is>
          <t>Connections</t>
        </is>
      </c>
      <c r="B18" s="37" t="n"/>
      <c r="C18" s="25" t="inlineStr">
        <is>
          <t>count</t>
        </is>
      </c>
      <c r="D18" s="25" t="inlineStr">
        <is>
          <t>AGGREGATED</t>
        </is>
      </c>
      <c r="E18" s="26" t="inlineStr">
        <is>
          <t>sum(connections)</t>
        </is>
      </c>
      <c r="F18" s="26" t="inlineStr">
        <is>
          <t>setter_activity.connections, activity-module.tsx:1193 sum("connections")</t>
        </is>
      </c>
      <c r="G18" s="26" t="inlineStr">
        <is>
          <t>Page date-range picker</t>
        </is>
      </c>
      <c r="H18" s="27" t="inlineStr">
        <is>
          <t>LIVE</t>
        </is>
      </c>
      <c r="I18" s="28" t="inlineStr">
        <is>
          <t>SALE-0324</t>
        </is>
      </c>
    </row>
    <row r="19" ht="30" customHeight="1">
      <c r="A19" s="29" t="inlineStr">
        <is>
          <t>Qualified Convos</t>
        </is>
      </c>
      <c r="B19" s="37" t="n"/>
      <c r="C19" s="31" t="inlineStr">
        <is>
          <t>count</t>
        </is>
      </c>
      <c r="D19" s="31" t="inlineStr">
        <is>
          <t>AGGREGATED</t>
        </is>
      </c>
      <c r="E19" s="32" t="inlineStr">
        <is>
          <t>sum(qualified_convos)</t>
        </is>
      </c>
      <c r="F19" s="32" t="inlineStr">
        <is>
          <t>setter_activity.qualified_convos, sum</t>
        </is>
      </c>
      <c r="G19" s="32" t="inlineStr">
        <is>
          <t>Page date-range picker</t>
        </is>
      </c>
      <c r="H19" s="27" t="inlineStr">
        <is>
          <t>LIVE</t>
        </is>
      </c>
      <c r="I19" s="33" t="inlineStr">
        <is>
          <t>SALE-0325</t>
        </is>
      </c>
    </row>
    <row r="20" ht="30" customHeight="1">
      <c r="A20" s="23" t="inlineStr">
        <is>
          <t>Sets</t>
        </is>
      </c>
      <c r="B20" s="37" t="n"/>
      <c r="C20" s="25" t="inlineStr">
        <is>
          <t>count</t>
        </is>
      </c>
      <c r="D20" s="25" t="inlineStr">
        <is>
          <t>AGGREGATED</t>
        </is>
      </c>
      <c r="E20" s="26" t="inlineStr">
        <is>
          <t>sum(sets)</t>
        </is>
      </c>
      <c r="F20" s="26" t="inlineStr">
        <is>
          <t>setter_activity.sets, sum</t>
        </is>
      </c>
      <c r="G20" s="26" t="inlineStr">
        <is>
          <t>Page date-range picker</t>
        </is>
      </c>
      <c r="H20" s="27" t="inlineStr">
        <is>
          <t>LIVE</t>
        </is>
      </c>
      <c r="I20" s="28" t="inlineStr">
        <is>
          <t>SALE-0326</t>
        </is>
      </c>
    </row>
    <row r="21" ht="30" customHeight="1">
      <c r="A21" s="29" t="inlineStr">
        <is>
          <t>Calls Booked</t>
        </is>
      </c>
      <c r="B21" s="37" t="n"/>
      <c r="C21" s="31" t="inlineStr">
        <is>
          <t>count</t>
        </is>
      </c>
      <c r="D21" s="31" t="inlineStr">
        <is>
          <t>AGGREGATED</t>
        </is>
      </c>
      <c r="E21" s="32" t="inlineStr">
        <is>
          <t>sum(calls_on_calendar)</t>
        </is>
      </c>
      <c r="F21" s="32" t="inlineStr">
        <is>
          <t>setter_activity.calls_on_calendar (var onCalendar), sum</t>
        </is>
      </c>
      <c r="G21" s="32" t="inlineStr">
        <is>
          <t>Page date-range picker</t>
        </is>
      </c>
      <c r="H21" s="27" t="inlineStr">
        <is>
          <t>LIVE</t>
        </is>
      </c>
      <c r="I21" s="33" t="inlineStr">
        <is>
          <t>SALE-0327</t>
        </is>
      </c>
    </row>
    <row r="22" ht="30" customHeight="1">
      <c r="A22" s="23" t="inlineStr">
        <is>
          <t>Showed</t>
        </is>
      </c>
      <c r="B22" s="37" t="n"/>
      <c r="C22" s="25" t="inlineStr">
        <is>
          <t>count</t>
        </is>
      </c>
      <c r="D22" s="25" t="inlineStr">
        <is>
          <t>AGGREGATED</t>
        </is>
      </c>
      <c r="E22" s="26" t="inlineStr">
        <is>
          <t>sum(live_calls)</t>
        </is>
      </c>
      <c r="F22" s="26" t="inlineStr">
        <is>
          <t>setter_activity.live_calls, sum</t>
        </is>
      </c>
      <c r="G22" s="26" t="inlineStr">
        <is>
          <t>Page date-range picker</t>
        </is>
      </c>
      <c r="H22" s="27" t="inlineStr">
        <is>
          <t>LIVE</t>
        </is>
      </c>
      <c r="I22" s="28" t="inlineStr">
        <is>
          <t>SALE-0328</t>
        </is>
      </c>
    </row>
    <row r="23" ht="30" customHeight="1">
      <c r="A23" s="29" t="inlineStr">
        <is>
          <t>Closes</t>
        </is>
      </c>
      <c r="B23" s="37" t="n"/>
      <c r="C23" s="31" t="inlineStr">
        <is>
          <t>count</t>
        </is>
      </c>
      <c r="D23" s="31" t="inlineStr">
        <is>
          <t>AGGREGATED</t>
        </is>
      </c>
      <c r="E23" s="32" t="inlineStr">
        <is>
          <t>sum(closes)</t>
        </is>
      </c>
      <c r="F23" s="32" t="inlineStr">
        <is>
          <t>setter_activity.closes, sum</t>
        </is>
      </c>
      <c r="G23" s="32" t="inlineStr">
        <is>
          <t>Page date-range picker</t>
        </is>
      </c>
      <c r="H23" s="27" t="inlineStr">
        <is>
          <t>LIVE</t>
        </is>
      </c>
      <c r="I23" s="33" t="inlineStr">
        <is>
          <t>SALE-0329</t>
        </is>
      </c>
    </row>
    <row r="24" ht="30" customHeight="1">
      <c r="A24" s="23" t="inlineStr">
        <is>
          <t>Disqualified Leads</t>
        </is>
      </c>
      <c r="B24" s="24" t="inlineStr">
        <is>
          <t>n/a</t>
        </is>
      </c>
      <c r="C24" s="25" t="inlineStr">
        <is>
          <t>count</t>
        </is>
      </c>
      <c r="D24" s="25" t="inlineStr">
        <is>
          <t>STATUS</t>
        </is>
      </c>
      <c r="E24" s="26" t="inlineStr">
        <is>
          <t>Same as SALE-0285</t>
        </is>
      </c>
      <c r="F24" s="26" t="inlineStr">
        <is>
          <t>leads/calls.status='disqualified' via src/lib/disqualification.ts, scoped to dialer roster</t>
        </is>
      </c>
      <c r="G24" s="26" t="inlineStr">
        <is>
          <t>Page date-range picker</t>
        </is>
      </c>
      <c r="H24" s="27" t="inlineStr">
        <is>
          <t>LIVE</t>
        </is>
      </c>
      <c r="I24" s="28" t="inlineStr">
        <is>
          <t>SALE-0330</t>
        </is>
      </c>
    </row>
    <row r="25" ht="30" customHeight="1">
      <c r="A25" s="29" t="inlineStr">
        <is>
          <t>Average Call Length</t>
        </is>
      </c>
      <c r="B25" s="37" t="n"/>
      <c r="C25" s="31" t="inlineStr">
        <is>
          <t>seconds (displayed as Xm Ys)</t>
        </is>
      </c>
      <c r="D25" s="31" t="inlineStr">
        <is>
          <t>AGGREGATED</t>
        </is>
      </c>
      <c r="E25" s="32" t="inlineStr">
        <is>
          <t>avg(duration_seconds) over ALL org calls in range (not scoped to dialer-attributed calls — no such column exists)</t>
        </is>
      </c>
      <c r="F25" s="32" t="inlineStr">
        <is>
          <t>calls.duration_seconds, avg over org-wide calls query (appointmentQuality, activity-module.tsx:831-865, 886-889) — code comment explicitly says "calls have no 'booking dialer' column, only closer/setter" (829-830)</t>
        </is>
      </c>
      <c r="G25" s="32" t="inlineStr">
        <is>
          <t>Page date-range picker (scheduled_for)</t>
        </is>
      </c>
      <c r="H25" s="38" t="inlineStr">
        <is>
          <t>PARTIALLY CONNECTED</t>
        </is>
      </c>
      <c r="I25" s="33" t="inlineStr">
        <is>
          <t>SALE-0331</t>
        </is>
      </c>
    </row>
    <row r="26" ht="30" customHeight="1">
      <c r="A26" s="23" t="inlineStr">
        <is>
          <t>Average Talk Time</t>
        </is>
      </c>
      <c r="B26" s="37" t="n"/>
      <c r="C26" s="25" t="inlineStr">
        <is>
          <t>seconds</t>
        </is>
      </c>
      <c r="D26" s="25" t="inlineStr">
        <is>
          <t>AGGREGATED</t>
        </is>
      </c>
      <c r="E26" s="26" t="inlineStr">
        <is>
          <t>avg(talk_seconds) over all org calls in range</t>
        </is>
      </c>
      <c r="F26" s="26" t="inlineStr">
        <is>
          <t>calls.talk_seconds, same appointmentQuality query as SALE-0331</t>
        </is>
      </c>
      <c r="G26" s="26" t="inlineStr">
        <is>
          <t>Page date-range picker</t>
        </is>
      </c>
      <c r="H26" s="38" t="inlineStr">
        <is>
          <t>PARTIALLY CONNECTED</t>
        </is>
      </c>
      <c r="I26" s="28" t="inlineStr">
        <is>
          <t>SALE-0332</t>
        </is>
      </c>
    </row>
    <row r="27" ht="30" customHeight="1">
      <c r="A27" s="29" t="inlineStr">
        <is>
          <t>Downsells</t>
        </is>
      </c>
      <c r="B27" s="37" t="n"/>
      <c r="C27" s="31" t="inlineStr">
        <is>
          <t>count</t>
        </is>
      </c>
      <c r="D27" s="31" t="inlineStr">
        <is>
          <t>AGGREGATED</t>
        </is>
      </c>
      <c r="E27" s="32" t="inlineStr">
        <is>
          <t>sum(downsells)</t>
        </is>
      </c>
      <c r="F27" s="32" t="inlineStr">
        <is>
          <t>setter_activity.downsells, sum</t>
        </is>
      </c>
      <c r="G27" s="32" t="inlineStr">
        <is>
          <t>Page date-range picker</t>
        </is>
      </c>
      <c r="H27" s="27" t="inlineStr">
        <is>
          <t>LIVE</t>
        </is>
      </c>
      <c r="I27" s="33" t="inlineStr">
        <is>
          <t>SALE-0333</t>
        </is>
      </c>
    </row>
    <row r="28" ht="6" customHeight="1"/>
    <row r="29" ht="20" customHeight="1">
      <c r="A29" s="22" t="inlineStr">
        <is>
          <t>RATE CHARTS</t>
        </is>
      </c>
    </row>
    <row r="30" ht="30" customHeight="1">
      <c r="A30" s="23" t="inlineStr">
        <is>
          <t>Pickup Rate</t>
        </is>
      </c>
      <c r="B30" s="35">
        <f>IF(N(B17)=0,"",B7/B17)</f>
        <v/>
      </c>
      <c r="C30" s="25" t="inlineStr">
        <is>
          <t>%</t>
        </is>
      </c>
      <c r="D30" s="25" t="inlineStr">
        <is>
          <t>DERIVED</t>
        </is>
      </c>
      <c r="E30" s="26" t="inlineStr">
        <is>
          <t>connections ÷ dials × 100</t>
        </is>
      </c>
      <c r="F30" s="26" t="inlineStr">
        <is>
          <t>activity-module.tsx:2095 pickupPct = dials ? (conns/dials)*100 : 0</t>
        </is>
      </c>
      <c r="G30" s="26" t="inlineStr">
        <is>
          <t>Page date-range picker</t>
        </is>
      </c>
      <c r="H30" s="27" t="inlineStr">
        <is>
          <t>LIVE</t>
        </is>
      </c>
      <c r="I30" s="28" t="inlineStr">
        <is>
          <t>SALE-0334</t>
        </is>
      </c>
    </row>
    <row r="31" ht="30" customHeight="1">
      <c r="A31" s="29" t="inlineStr">
        <is>
          <t>Qualified Convo Rate</t>
        </is>
      </c>
      <c r="B31" s="35">
        <f>IF(N(B8)=0,"",B19/B8)</f>
        <v/>
      </c>
      <c r="C31" s="31" t="inlineStr">
        <is>
          <t>%</t>
        </is>
      </c>
      <c r="D31" s="31" t="inlineStr">
        <is>
          <t>DERIVED</t>
        </is>
      </c>
      <c r="E31" s="32" t="inlineStr">
        <is>
          <t>qualified_convos ÷ connections × 100</t>
        </is>
      </c>
      <c r="F31" s="32" t="inlineStr">
        <is>
          <t>activity-module.tsx:2097-2099, qualDen=conns for dialer</t>
        </is>
      </c>
      <c r="G31" s="32" t="inlineStr">
        <is>
          <t>Page date-range picker</t>
        </is>
      </c>
      <c r="H31" s="27" t="inlineStr">
        <is>
          <t>LIVE</t>
        </is>
      </c>
      <c r="I31" s="33" t="inlineStr">
        <is>
          <t>SALE-0335</t>
        </is>
      </c>
    </row>
    <row r="32" ht="30" customHeight="1">
      <c r="A32" s="23" t="inlineStr">
        <is>
          <t>Set Rate</t>
        </is>
      </c>
      <c r="B32" s="35">
        <f>IF(N(B19)=0,"",B20/B19)</f>
        <v/>
      </c>
      <c r="C32" s="25" t="inlineStr">
        <is>
          <t>%</t>
        </is>
      </c>
      <c r="D32" s="25" t="inlineStr">
        <is>
          <t>DERIVED</t>
        </is>
      </c>
      <c r="E32" s="26" t="inlineStr">
        <is>
          <t>sets ÷ qualified_convos × 100</t>
        </is>
      </c>
      <c r="F32" s="26" t="inlineStr">
        <is>
          <t>activity-module.tsx:2101 setPct=(sets/qualified)*100</t>
        </is>
      </c>
      <c r="G32" s="26" t="inlineStr">
        <is>
          <t>Page date-range picker</t>
        </is>
      </c>
      <c r="H32" s="27" t="inlineStr">
        <is>
          <t>LIVE</t>
        </is>
      </c>
      <c r="I32" s="28" t="inlineStr">
        <is>
          <t>SALE-0336</t>
        </is>
      </c>
    </row>
    <row r="33" ht="30" customHeight="1">
      <c r="A33" s="29" t="inlineStr">
        <is>
          <t>Show Rate</t>
        </is>
      </c>
      <c r="B33" s="35">
        <f>IF(N(B62)=0,"",B22/B62)</f>
        <v/>
      </c>
      <c r="C33" s="31" t="inlineStr">
        <is>
          <t>%</t>
        </is>
      </c>
      <c r="D33" s="31" t="inlineStr">
        <is>
          <t>DERIVED</t>
        </is>
      </c>
      <c r="E33" s="32" t="inlineStr">
        <is>
          <t>live_calls ÷ calls_on_calendar × 100</t>
        </is>
      </c>
      <c r="F33" s="32" t="inlineStr">
        <is>
          <t>activity-module.tsx:2103</t>
        </is>
      </c>
      <c r="G33" s="32" t="inlineStr">
        <is>
          <t>Page date-range picker</t>
        </is>
      </c>
      <c r="H33" s="27" t="inlineStr">
        <is>
          <t>LIVE</t>
        </is>
      </c>
      <c r="I33" s="33" t="inlineStr">
        <is>
          <t>SALE-0337</t>
        </is>
      </c>
    </row>
    <row r="34" ht="30" customHeight="1">
      <c r="A34" s="23" t="inlineStr">
        <is>
          <t>Close Rate</t>
        </is>
      </c>
      <c r="B34" s="35">
        <f>IF(N(B22)=0,"",B23/B22)</f>
        <v/>
      </c>
      <c r="C34" s="25" t="inlineStr">
        <is>
          <t>%</t>
        </is>
      </c>
      <c r="D34" s="25" t="inlineStr">
        <is>
          <t>DERIVED</t>
        </is>
      </c>
      <c r="E34" s="26" t="inlineStr">
        <is>
          <t>closes ÷ live_calls (Showed) × 100</t>
        </is>
      </c>
      <c r="F34" s="26" t="inlineStr">
        <is>
          <t>activity-module.tsx:2105</t>
        </is>
      </c>
      <c r="G34" s="26" t="inlineStr">
        <is>
          <t>Page date-range picker</t>
        </is>
      </c>
      <c r="H34" s="27" t="inlineStr">
        <is>
          <t>LIVE</t>
        </is>
      </c>
      <c r="I34" s="28" t="inlineStr">
        <is>
          <t>SALE-0338</t>
        </is>
      </c>
    </row>
    <row r="35" ht="6" customHeight="1"/>
    <row r="36" ht="20" customHeight="1">
      <c r="A36" s="22" t="inlineStr">
        <is>
          <t>SPEED TO LEAD</t>
        </is>
      </c>
    </row>
    <row r="37" ht="30" customHeight="1">
      <c r="A37" s="29" t="inlineStr">
        <is>
          <t>Median Response</t>
        </is>
      </c>
      <c r="B37" s="37" t="n"/>
      <c r="C37" s="31" t="inlineStr">
        <is>
          <t xml:space="preserve"> firstAttemptAt)) across filtered events</t>
        </is>
      </c>
      <c r="D37" s="31" t="inlineStr">
        <is>
          <t>AGGREGATED</t>
        </is>
      </c>
      <c r="E37" s="32" t="inlineStr">
        <is>
          <t>median(minutesBetween(leadAssignedAt ?? leadCreatedAt</t>
        </is>
      </c>
      <c r="F37" s="32" t="inlineStr">
        <is>
          <t>lead_response_events, src/lib/speed-to-lead.ts:190-229 (median of minutesToAttempt), query at activity-module.tsx:1009-1035</t>
        </is>
      </c>
      <c r="G37" s="32" t="inlineStr">
        <is>
          <t>minutes</t>
        </is>
      </c>
      <c r="H37" s="27" t="inlineStr">
        <is>
          <t>LIVE</t>
        </is>
      </c>
      <c r="I37" s="33" t="inlineStr">
        <is>
          <t>SALE-0339</t>
        </is>
      </c>
    </row>
    <row r="38" ht="30" customHeight="1">
      <c r="A38" s="23" t="inlineStr">
        <is>
          <t>SLA Compliance</t>
        </is>
      </c>
      <c r="B38" s="39" t="n"/>
      <c r="C38" s="25" t="inlineStr">
        <is>
          <t>%</t>
        </is>
      </c>
      <c r="D38" s="25" t="inlineStr">
        <is>
          <t>DERIVED</t>
        </is>
      </c>
      <c r="E38" s="26" t="inlineStr">
        <is>
          <t>count(minutesToAttempt&lt;=5) ÷ contacted × 100</t>
        </is>
      </c>
      <c r="F38" s="26" t="inlineStr">
        <is>
          <t>activity-module.tsx:2788-2790, slaPct = contacted ? (withinFive/contacted)*100 : null</t>
        </is>
      </c>
      <c r="G38" s="26" t="inlineStr">
        <is>
          <t>Page date-range picker</t>
        </is>
      </c>
      <c r="H38" s="27" t="inlineStr">
        <is>
          <t>LIVE</t>
        </is>
      </c>
      <c r="I38" s="28" t="inlineStr">
        <is>
          <t>SALE-0340</t>
        </is>
      </c>
    </row>
    <row r="39" ht="30" customHeight="1">
      <c r="A39" s="29" t="inlineStr">
        <is>
          <t>Within/Outside SLA</t>
        </is>
      </c>
      <c r="B39" s="37" t="n"/>
      <c r="C39" s="31" t="inlineStr">
        <is>
          <t>count</t>
        </is>
      </c>
      <c r="D39" s="31" t="inlineStr">
        <is>
          <t>AGGREGATED</t>
        </is>
      </c>
      <c r="E39" s="32" t="inlineStr">
        <is>
          <t>withinFive count / (contacted - withinFive) count</t>
        </is>
      </c>
      <c r="F39" s="32" t="inlineStr">
        <is>
          <t>Same speedSummary as SALE-0340</t>
        </is>
      </c>
      <c r="G39" s="32" t="inlineStr">
        <is>
          <t>Page date-range picker</t>
        </is>
      </c>
      <c r="H39" s="27" t="inlineStr">
        <is>
          <t>LIVE</t>
        </is>
      </c>
      <c r="I39" s="33" t="inlineStr">
        <is>
          <t>SALE-0341</t>
        </is>
      </c>
    </row>
    <row r="40" ht="30" customHeight="1">
      <c r="A40" s="23" t="inlineStr">
        <is>
          <t>response-time buckets (&lt;1min…&gt;1hr)</t>
        </is>
      </c>
      <c r="B40" s="37" t="n"/>
      <c r="C40" s="25" t="inlineStr">
        <is>
          <t>count (per bucket)</t>
        </is>
      </c>
      <c r="D40" s="25" t="inlineStr">
        <is>
          <t>AGGREGATED</t>
        </is>
      </c>
      <c r="E40" s="26" t="inlineStr">
        <is>
          <t>Count of events per fixed minute threshold (&lt;1/&lt;5/&lt;15/&lt;30/&lt;60/&gt;=60)</t>
        </is>
      </c>
      <c r="F40" s="26" t="inlineStr">
        <is>
          <t>speed-to-lead.ts:220-227, speedDistribution().buckets</t>
        </is>
      </c>
      <c r="G40" s="26" t="inlineStr">
        <is>
          <t>Page date-range picker</t>
        </is>
      </c>
      <c r="H40" s="27" t="inlineStr">
        <is>
          <t>LIVE</t>
        </is>
      </c>
      <c r="I40" s="28" t="inlineStr">
        <is>
          <t>SALE-0342</t>
        </is>
      </c>
    </row>
    <row r="41" ht="30" customHeight="1">
      <c r="A41" s="29" t="inlineStr">
        <is>
          <t>per-segment: Connection rate</t>
        </is>
      </c>
      <c r="B41" s="35">
        <f>IF(N(B17)=0,"",B7/B17)</f>
        <v/>
      </c>
      <c r="C41" s="31" t="inlineStr">
        <is>
          <t>%</t>
        </is>
      </c>
      <c r="D41" s="31" t="inlineStr">
        <is>
          <t>DERIVED</t>
        </is>
      </c>
      <c r="E41" s="32" t="inlineStr">
        <is>
          <t>bucket.filter(row.connected).length ÷ bucket.length</t>
        </is>
      </c>
      <c r="F41" s="32" t="inlineStr">
        <is>
          <t>speed-to-lead.ts:260-291 compareSpeedBuckets(), split &lt;5min vs 30+min buckets</t>
        </is>
      </c>
      <c r="G41" s="32" t="inlineStr">
        <is>
          <t>Page date-range picker</t>
        </is>
      </c>
      <c r="H41" s="27" t="inlineStr">
        <is>
          <t>LIVE</t>
        </is>
      </c>
      <c r="I41" s="33" t="inlineStr">
        <is>
          <t>SALE-0343</t>
        </is>
      </c>
    </row>
    <row r="42" ht="30" customHeight="1">
      <c r="A42" s="23" t="inlineStr">
        <is>
          <t>Qualified convo rate</t>
        </is>
      </c>
      <c r="B42" s="35">
        <f>IF(N(B8)=0,"",B19/B8)</f>
        <v/>
      </c>
      <c r="C42" s="25" t="inlineStr">
        <is>
          <t>%</t>
        </is>
      </c>
      <c r="D42" s="25" t="inlineStr">
        <is>
          <t>DERIVED</t>
        </is>
      </c>
      <c r="E42" s="26" t="inlineStr">
        <is>
          <t>bucket.filter(row.qualified).length ÷ bucket.length</t>
        </is>
      </c>
      <c r="F42" s="26" t="inlineStr">
        <is>
          <t>Same compareSpeedBuckets() as SALE-0343</t>
        </is>
      </c>
      <c r="G42" s="26" t="inlineStr">
        <is>
          <t>Page date-range picker</t>
        </is>
      </c>
      <c r="H42" s="27" t="inlineStr">
        <is>
          <t>LIVE</t>
        </is>
      </c>
      <c r="I42" s="28" t="inlineStr">
        <is>
          <t>SALE-0344</t>
        </is>
      </c>
    </row>
    <row r="43" ht="30" customHeight="1">
      <c r="A43" s="29" t="inlineStr">
        <is>
          <t>Set rate</t>
        </is>
      </c>
      <c r="B43" s="35">
        <f>IF(N(B19)=0,"",B20/B19)</f>
        <v/>
      </c>
      <c r="C43" s="31" t="inlineStr">
        <is>
          <t>%</t>
        </is>
      </c>
      <c r="D43" s="31" t="inlineStr">
        <is>
          <t>DERIVED</t>
        </is>
      </c>
      <c r="E43" s="32" t="inlineStr">
        <is>
          <t>bucket.filter(row.set).length ÷ bucket.length</t>
        </is>
      </c>
      <c r="F43" s="32" t="inlineStr">
        <is>
          <t>Same compareSpeedBuckets()</t>
        </is>
      </c>
      <c r="G43" s="32" t="inlineStr">
        <is>
          <t>Page date-range picker</t>
        </is>
      </c>
      <c r="H43" s="27" t="inlineStr">
        <is>
          <t>LIVE</t>
        </is>
      </c>
      <c r="I43" s="33" t="inlineStr">
        <is>
          <t>SALE-0345</t>
        </is>
      </c>
    </row>
    <row r="44" ht="30" customHeight="1">
      <c r="A44" s="23" t="inlineStr">
        <is>
          <t>Booked-call rate</t>
        </is>
      </c>
      <c r="B44" s="35">
        <f>IF(N(B19)=0,"",B10/B19)</f>
        <v/>
      </c>
      <c r="C44" s="25" t="inlineStr">
        <is>
          <t>%</t>
        </is>
      </c>
      <c r="D44" s="25" t="inlineStr">
        <is>
          <t>DERIVED</t>
        </is>
      </c>
      <c r="E44" s="26" t="inlineStr">
        <is>
          <t>bucket.filter(row.bookedCall).length ÷ bucket.length</t>
        </is>
      </c>
      <c r="F44" s="26" t="inlineStr">
        <is>
          <t>Same compareSpeedBuckets()</t>
        </is>
      </c>
      <c r="G44" s="26" t="inlineStr">
        <is>
          <t>Page date-range picker</t>
        </is>
      </c>
      <c r="H44" s="27" t="inlineStr">
        <is>
          <t>LIVE</t>
        </is>
      </c>
      <c r="I44" s="28" t="inlineStr">
        <is>
          <t>SALE-0346</t>
        </is>
      </c>
    </row>
    <row r="45" ht="30" customHeight="1">
      <c r="A45" s="29" t="inlineStr">
        <is>
          <t>Show rate</t>
        </is>
      </c>
      <c r="B45" s="35">
        <f>IF(N(B62)=0,"",B22/B62)</f>
        <v/>
      </c>
      <c r="C45" s="31" t="inlineStr">
        <is>
          <t>%</t>
        </is>
      </c>
      <c r="D45" s="31" t="inlineStr">
        <is>
          <t>DERIVED</t>
        </is>
      </c>
      <c r="E45" s="32" t="inlineStr">
        <is>
          <t>bucket.filter(row.showed).length ÷ bucket.length</t>
        </is>
      </c>
      <c r="F45" s="32" t="inlineStr">
        <is>
          <t>Same compareSpeedBuckets()</t>
        </is>
      </c>
      <c r="G45" s="32" t="inlineStr">
        <is>
          <t>Page date-range picker</t>
        </is>
      </c>
      <c r="H45" s="27" t="inlineStr">
        <is>
          <t>LIVE</t>
        </is>
      </c>
      <c r="I45" s="33" t="inlineStr">
        <is>
          <t>SALE-0347</t>
        </is>
      </c>
    </row>
    <row r="46" ht="30" customHeight="1">
      <c r="A46" s="23" t="inlineStr">
        <is>
          <t>Close rate</t>
        </is>
      </c>
      <c r="B46" s="35">
        <f>IF(N(B22)=0,"",B23/B22)</f>
        <v/>
      </c>
      <c r="C46" s="25" t="inlineStr">
        <is>
          <t>%</t>
        </is>
      </c>
      <c r="D46" s="25" t="inlineStr">
        <is>
          <t>DERIVED</t>
        </is>
      </c>
      <c r="E46" s="26" t="inlineStr">
        <is>
          <t>bucket.filter(row.close).length ÷ bucket.length</t>
        </is>
      </c>
      <c r="F46" s="26" t="inlineStr">
        <is>
          <t>Same compareSpeedBuckets()</t>
        </is>
      </c>
      <c r="G46" s="26" t="inlineStr">
        <is>
          <t>Page date-range picker</t>
        </is>
      </c>
      <c r="H46" s="27" t="inlineStr">
        <is>
          <t>LIVE</t>
        </is>
      </c>
      <c r="I46" s="28" t="inlineStr">
        <is>
          <t>SALE-0348</t>
        </is>
      </c>
    </row>
    <row r="47" ht="6" customHeight="1"/>
    <row r="48" ht="20" customHeight="1">
      <c r="A48" s="22" t="inlineStr">
        <is>
          <t>ACTIVE LEADS TO DIAL</t>
        </is>
      </c>
    </row>
    <row r="49" ht="30" customHeight="1">
      <c r="A49" s="29" t="inlineStr">
        <is>
          <t>per-tier counts</t>
        </is>
      </c>
      <c r="B49" s="37" t="n"/>
      <c r="C49" s="31" t="inlineStr">
        <is>
          <t>count</t>
        </is>
      </c>
      <c r="D49" s="31" t="inlineStr">
        <is>
          <t>AGGREGATED</t>
        </is>
      </c>
      <c r="E49" s="32" t="inlineStr">
        <is>
          <t>availableDialableLeads.filter(l.ticket_tier===t.key).length, where 'available' = no first_attempt_at yet</t>
        </is>
      </c>
      <c r="F49" s="32" t="inlineStr">
        <is>
          <t>leads.ticket_tier ⋈ offer_tiers ⋈ lead_response_events.first_attempt_at, activity-module.tsx:757-822</t>
        </is>
      </c>
      <c r="G49" s="32" t="inlineStr">
        <is>
          <t>Snapshot as of now over range-created leads (leads.created_at within range)</t>
        </is>
      </c>
      <c r="H49" s="27" t="inlineStr">
        <is>
          <t>LIVE</t>
        </is>
      </c>
      <c r="I49" s="33" t="inlineStr">
        <is>
          <t>SALE-0349</t>
        </is>
      </c>
    </row>
    <row r="50" ht="6" customHeight="1"/>
    <row r="51" ht="20" customHeight="1">
      <c r="A51" s="22" t="inlineStr">
        <is>
          <t>WORKFLOW PANEL</t>
        </is>
      </c>
    </row>
    <row r="52" ht="30" customHeight="1">
      <c r="A52" s="23" t="inlineStr">
        <is>
          <t>Inbound leads</t>
        </is>
      </c>
      <c r="B52" s="24" t="inlineStr">
        <is>
          <t>n/a</t>
        </is>
      </c>
      <c r="C52" s="25" t="inlineStr">
        <is>
          <t>N/A</t>
        </is>
      </c>
      <c r="D52" s="25" t="inlineStr">
        <is>
          <t>OTHER</t>
        </is>
      </c>
      <c r="E52" s="26" t="inlineStr">
        <is>
          <t>Hardcoded string</t>
        </is>
      </c>
      <c r="F52" s="26" t="inlineStr">
        <is>
          <t>operational-workflow-panel.tsx:94-98, static "Verified activity" string</t>
        </is>
      </c>
      <c r="G52" s="26" t="inlineStr">
        <is>
          <t>N/A</t>
        </is>
      </c>
      <c r="H52" s="36" t="inlineStr">
        <is>
          <t>PLACEHOLDER</t>
        </is>
      </c>
      <c r="I52" s="28" t="inlineStr">
        <is>
          <t>SALE-0350</t>
        </is>
      </c>
    </row>
    <row r="53" ht="30" customHeight="1">
      <c r="A53" s="29" t="inlineStr">
        <is>
          <t>Qualified convos</t>
        </is>
      </c>
      <c r="B53" s="37" t="n"/>
      <c r="C53" s="31" t="inlineStr">
        <is>
          <t>count</t>
        </is>
      </c>
      <c r="D53" s="31" t="inlineStr">
        <is>
          <t>AGGREGATED</t>
        </is>
      </c>
      <c r="E53" s="32" t="inlineStr">
        <is>
          <t>Same sum(qualified_convos) as SALE-0325</t>
        </is>
      </c>
      <c r="F53" s="32" t="inlineStr">
        <is>
          <t>activity-module.tsx:3372, prop qualified={qualified}</t>
        </is>
      </c>
      <c r="G53" s="32" t="inlineStr">
        <is>
          <t>Page date-range picker</t>
        </is>
      </c>
      <c r="H53" s="27" t="inlineStr">
        <is>
          <t>LIVE</t>
        </is>
      </c>
      <c r="I53" s="33" t="inlineStr">
        <is>
          <t>SALE-0351</t>
        </is>
      </c>
    </row>
    <row r="54" ht="30" customHeight="1">
      <c r="A54" s="23" t="inlineStr">
        <is>
          <t>Sets</t>
        </is>
      </c>
      <c r="B54" s="37" t="n"/>
      <c r="C54" s="25" t="inlineStr">
        <is>
          <t>count</t>
        </is>
      </c>
      <c r="D54" s="25" t="inlineStr">
        <is>
          <t>AGGREGATED</t>
        </is>
      </c>
      <c r="E54" s="26" t="inlineStr">
        <is>
          <t>Same sum(sets) as SALE-0326</t>
        </is>
      </c>
      <c r="F54" s="26" t="inlineStr">
        <is>
          <t>activity-module.tsx:3373</t>
        </is>
      </c>
      <c r="G54" s="26" t="inlineStr">
        <is>
          <t>Page date-range picker</t>
        </is>
      </c>
      <c r="H54" s="27" t="inlineStr">
        <is>
          <t>LIVE</t>
        </is>
      </c>
      <c r="I54" s="28" t="inlineStr">
        <is>
          <t>SALE-0352</t>
        </is>
      </c>
    </row>
    <row r="55" ht="30" customHeight="1">
      <c r="A55" s="29" t="inlineStr">
        <is>
          <t>Booked calls</t>
        </is>
      </c>
      <c r="B55" s="37" t="n"/>
      <c r="C55" s="31" t="inlineStr">
        <is>
          <t>count</t>
        </is>
      </c>
      <c r="D55" s="31" t="inlineStr">
        <is>
          <t>AGGREGATED</t>
        </is>
      </c>
      <c r="E55" s="32" t="inlineStr">
        <is>
          <t>Same sum(calls_on_calendar) as SALE-0327</t>
        </is>
      </c>
      <c r="F55" s="32" t="inlineStr">
        <is>
          <t>activity-module.tsx:3374</t>
        </is>
      </c>
      <c r="G55" s="32" t="inlineStr">
        <is>
          <t>Page date-range picker</t>
        </is>
      </c>
      <c r="H55" s="27" t="inlineStr">
        <is>
          <t>LIVE</t>
        </is>
      </c>
      <c r="I55" s="33" t="inlineStr">
        <is>
          <t>SALE-0353</t>
        </is>
      </c>
    </row>
    <row r="56" ht="30" customHeight="1">
      <c r="A56" s="23" t="inlineStr">
        <is>
          <t>Closes</t>
        </is>
      </c>
      <c r="B56" s="37" t="n"/>
      <c r="C56" s="25" t="inlineStr">
        <is>
          <t>count</t>
        </is>
      </c>
      <c r="D56" s="25" t="inlineStr">
        <is>
          <t>AGGREGATED</t>
        </is>
      </c>
      <c r="E56" s="26" t="inlineStr">
        <is>
          <t>Same sum(closes) as SALE-0329</t>
        </is>
      </c>
      <c r="F56" s="26" t="inlineStr">
        <is>
          <t>activity-module.tsx:3375</t>
        </is>
      </c>
      <c r="G56" s="26" t="inlineStr">
        <is>
          <t>Page date-range picker</t>
        </is>
      </c>
      <c r="H56" s="27" t="inlineStr">
        <is>
          <t>LIVE</t>
        </is>
      </c>
      <c r="I56" s="28" t="inlineStr">
        <is>
          <t>SALE-0354</t>
        </is>
      </c>
    </row>
    <row r="57" ht="30" customHeight="1">
      <c r="A57" s="29" t="inlineStr">
        <is>
          <t>Cash</t>
        </is>
      </c>
      <c r="B57" s="34" t="n"/>
      <c r="C57" s="31" t="inlineStr">
        <is>
          <t>$</t>
        </is>
      </c>
      <c r="D57" s="31" t="inlineStr">
        <is>
          <t>AGGREGATED</t>
        </is>
      </c>
      <c r="E57" s="32" t="inlineStr">
        <is>
          <t>Same sum(cash_collected_cents) as SALE-0321</t>
        </is>
      </c>
      <c r="F57" s="32" t="inlineStr">
        <is>
          <t>activity-module.tsx:3376</t>
        </is>
      </c>
      <c r="G57" s="32" t="inlineStr">
        <is>
          <t>Page date-range picker</t>
        </is>
      </c>
      <c r="H57" s="27" t="inlineStr">
        <is>
          <t>LIVE</t>
        </is>
      </c>
      <c r="I57" s="33" t="inlineStr">
        <is>
          <t>SALE-0355</t>
        </is>
      </c>
    </row>
    <row r="58" ht="6" customHeight="1"/>
    <row r="59" ht="20" customHeight="1">
      <c r="A59" s="22" t="inlineStr">
        <is>
          <t>INBOUND LEAD SOURCES</t>
        </is>
      </c>
    </row>
    <row r="60" ht="30" customHeight="1">
      <c r="A60" s="23" t="inlineStr">
        <is>
          <t>Leads</t>
        </is>
      </c>
      <c r="B60" s="37" t="n"/>
      <c r="C60" s="25" t="inlineStr">
        <is>
          <t>count</t>
        </is>
      </c>
      <c r="D60" s="25" t="inlineStr">
        <is>
          <t>AGGREGATED</t>
        </is>
      </c>
      <c r="E60" s="26" t="inlineStr">
        <is>
          <t>rowsForPlatform.length</t>
        </is>
      </c>
      <c r="F60" s="26" t="inlineStr">
        <is>
          <t>lead_response_events grouped by source_platform, activity-module.tsx:3388-3401 (query enabled for isDialer)</t>
        </is>
      </c>
      <c r="G60" s="26" t="inlineStr">
        <is>
          <t>Page date-range picker</t>
        </is>
      </c>
      <c r="H60" s="27" t="inlineStr">
        <is>
          <t>LIVE</t>
        </is>
      </c>
      <c r="I60" s="28" t="inlineStr">
        <is>
          <t>SALE-0356</t>
        </is>
      </c>
    </row>
    <row r="61" ht="30" customHeight="1">
      <c r="A61" s="29" t="inlineStr">
        <is>
          <t>Qualified</t>
        </is>
      </c>
      <c r="B61" s="37" t="n"/>
      <c r="C61" s="31" t="inlineStr">
        <is>
          <t>count</t>
        </is>
      </c>
      <c r="D61" s="31" t="inlineStr">
        <is>
          <t>AGGREGATED</t>
        </is>
      </c>
      <c r="E61" s="32" t="inlineStr">
        <is>
          <t>rowsForPlatform.filter(e.qualified).length</t>
        </is>
      </c>
      <c r="F61" s="32" t="inlineStr">
        <is>
          <t>Same as SALE-0356</t>
        </is>
      </c>
      <c r="G61" s="32" t="inlineStr">
        <is>
          <t>Page date-range picker</t>
        </is>
      </c>
      <c r="H61" s="27" t="inlineStr">
        <is>
          <t>LIVE</t>
        </is>
      </c>
      <c r="I61" s="33" t="inlineStr">
        <is>
          <t>SALE-0357</t>
        </is>
      </c>
    </row>
    <row r="62" ht="30" customHeight="1">
      <c r="A62" s="23" t="inlineStr">
        <is>
          <t>Booked</t>
        </is>
      </c>
      <c r="B62" s="37" t="n"/>
      <c r="C62" s="25" t="inlineStr">
        <is>
          <t>count</t>
        </is>
      </c>
      <c r="D62" s="25" t="inlineStr">
        <is>
          <t>AGGREGATED</t>
        </is>
      </c>
      <c r="E62" s="26" t="inlineStr">
        <is>
          <t>rowsForPlatform.filter(e.set || e.booked_call).length</t>
        </is>
      </c>
      <c r="F62" s="26" t="inlineStr">
        <is>
          <t>Same as SALE-0356</t>
        </is>
      </c>
      <c r="G62" s="26" t="inlineStr">
        <is>
          <t>Page date-range picker</t>
        </is>
      </c>
      <c r="H62" s="27" t="inlineStr">
        <is>
          <t>LIVE</t>
        </is>
      </c>
      <c r="I62" s="28" t="inlineStr">
        <is>
          <t>SALE-0358</t>
        </is>
      </c>
    </row>
    <row r="63" ht="30" customHeight="1">
      <c r="A63" s="29" t="inlineStr">
        <is>
          <t>Shows</t>
        </is>
      </c>
      <c r="B63" s="37" t="n"/>
      <c r="C63" s="31" t="inlineStr">
        <is>
          <t>count</t>
        </is>
      </c>
      <c r="D63" s="31" t="inlineStr">
        <is>
          <t>AGGREGATED</t>
        </is>
      </c>
      <c r="E63" s="32" t="inlineStr">
        <is>
          <t>rowsForPlatform.filter(e.showed).length</t>
        </is>
      </c>
      <c r="F63" s="32" t="inlineStr">
        <is>
          <t>Same as SALE-0356</t>
        </is>
      </c>
      <c r="G63" s="32" t="inlineStr">
        <is>
          <t>Page date-range picker</t>
        </is>
      </c>
      <c r="H63" s="27" t="inlineStr">
        <is>
          <t>LIVE</t>
        </is>
      </c>
      <c r="I63" s="33" t="inlineStr">
        <is>
          <t>SALE-0359</t>
        </is>
      </c>
    </row>
    <row r="64" ht="30" customHeight="1">
      <c r="A64" s="23" t="inlineStr">
        <is>
          <t>Closes</t>
        </is>
      </c>
      <c r="B64" s="37" t="n"/>
      <c r="C64" s="25" t="inlineStr">
        <is>
          <t>count</t>
        </is>
      </c>
      <c r="D64" s="25" t="inlineStr">
        <is>
          <t>AGGREGATED</t>
        </is>
      </c>
      <c r="E64" s="26" t="inlineStr">
        <is>
          <t>rowsForPlatform.filter(e.closed).length</t>
        </is>
      </c>
      <c r="F64" s="26" t="inlineStr">
        <is>
          <t>Same as SALE-0356</t>
        </is>
      </c>
      <c r="G64" s="26" t="inlineStr">
        <is>
          <t>Page date-range picker</t>
        </is>
      </c>
      <c r="H64" s="27" t="inlineStr">
        <is>
          <t>LIVE</t>
        </is>
      </c>
      <c r="I64" s="28" t="inlineStr">
        <is>
          <t>SALE-0360</t>
        </is>
      </c>
    </row>
    <row r="65" ht="30" customHeight="1">
      <c r="A65" s="29" t="inlineStr">
        <is>
          <t>Callbacks Requested</t>
        </is>
      </c>
      <c r="B65" s="37" t="n"/>
      <c r="C65" s="31" t="inlineStr">
        <is>
          <t>count</t>
        </is>
      </c>
      <c r="D65" s="31" t="inlineStr">
        <is>
          <t>AGGREGATED</t>
        </is>
      </c>
      <c r="E65" s="32" t="inlineStr">
        <is>
          <t>count(requested callback work items)</t>
        </is>
      </c>
      <c r="F65" s="32" t="inlineStr">
        <is>
          <t>operational_work_items where entity_type='dialer_callback', activity-module.tsx:921-953 (callbackFunnel)</t>
        </is>
      </c>
      <c r="G65" s="32" t="inlineStr">
        <is>
          <t>Page date-range picker</t>
        </is>
      </c>
      <c r="H65" s="27" t="inlineStr">
        <is>
          <t>LIVE</t>
        </is>
      </c>
      <c r="I65" s="33" t="inlineStr">
        <is>
          <t>SALE-0361</t>
        </is>
      </c>
    </row>
    <row r="66" ht="30" customHeight="1">
      <c r="A66" s="23" t="inlineStr">
        <is>
          <t>Due Today</t>
        </is>
      </c>
      <c r="B66" s="37" t="n"/>
      <c r="C66" s="25" t="inlineStr">
        <is>
          <t>count</t>
        </is>
      </c>
      <c r="D66" s="25" t="inlineStr">
        <is>
          <t>AGGREGATED</t>
        </is>
      </c>
      <c r="E66" s="26" t="inlineStr">
        <is>
          <t>count(due_at = today among callback items)</t>
        </is>
      </c>
      <c r="F66" s="26" t="inlineStr">
        <is>
          <t>Same operational_work_items query</t>
        </is>
      </c>
      <c r="G66" s="26" t="inlineStr">
        <is>
          <t>Snapshot as-of-today (not range-dependent)</t>
        </is>
      </c>
      <c r="H66" s="27" t="inlineStr">
        <is>
          <t>LIVE</t>
        </is>
      </c>
      <c r="I66" s="28" t="inlineStr">
        <is>
          <t>SALE-0362</t>
        </is>
      </c>
    </row>
    <row r="67" ht="30" customHeight="1">
      <c r="A67" s="29" t="inlineStr">
        <is>
          <t>Completed Today</t>
        </is>
      </c>
      <c r="B67" s="37" t="n"/>
      <c r="C67" s="31" t="inlineStr">
        <is>
          <t>count</t>
        </is>
      </c>
      <c r="D67" s="31" t="inlineStr">
        <is>
          <t>AGGREGATED</t>
        </is>
      </c>
      <c r="E67" s="32" t="inlineStr">
        <is>
          <t>count(completed today among callback items)</t>
        </is>
      </c>
      <c r="F67" s="32" t="inlineStr">
        <is>
          <t>Same operational_work_items query</t>
        </is>
      </c>
      <c r="G67" s="32" t="inlineStr">
        <is>
          <t>Snapshot as-of-today</t>
        </is>
      </c>
      <c r="H67" s="27" t="inlineStr">
        <is>
          <t>LIVE</t>
        </is>
      </c>
      <c r="I67" s="33" t="inlineStr">
        <is>
          <t>SALE-0363</t>
        </is>
      </c>
    </row>
    <row r="68" ht="30" customHeight="1">
      <c r="A68" s="23" t="inlineStr">
        <is>
          <t>Cancel Rate</t>
        </is>
      </c>
      <c r="B68" s="39" t="n"/>
      <c r="C68" s="25" t="inlineStr">
        <is>
          <t>%</t>
        </is>
      </c>
      <c r="D68" s="25" t="inlineStr">
        <is>
          <t>DERIVED</t>
        </is>
      </c>
      <c r="E68" s="26" t="inlineStr">
        <is>
          <t>cancelled_count ÷ total_calls_in_range × 100</t>
        </is>
      </c>
      <c r="F68" s="26" t="inlineStr">
        <is>
          <t>calls.cancelled, appointmentQuality (activity-module.tsx:866-891), org-wide calls query (859)</t>
        </is>
      </c>
      <c r="G68" s="26" t="inlineStr">
        <is>
          <t>Page date-range picker</t>
        </is>
      </c>
      <c r="H68" s="27" t="inlineStr">
        <is>
          <t>LIVE</t>
        </is>
      </c>
      <c r="I68" s="28" t="inlineStr">
        <is>
          <t>SALE-0364</t>
        </is>
      </c>
    </row>
    <row r="69" ht="30" customHeight="1">
      <c r="A69" s="29" t="inlineStr">
        <is>
          <t>No-show Rate</t>
        </is>
      </c>
      <c r="B69" s="39" t="n"/>
      <c r="C69" s="31" t="inlineStr">
        <is>
          <t>%</t>
        </is>
      </c>
      <c r="D69" s="31" t="inlineStr">
        <is>
          <t>DERIVED</t>
        </is>
      </c>
      <c r="E69" s="32" t="inlineStr">
        <is>
          <t>no_show_count ÷ total_calls_in_range × 100</t>
        </is>
      </c>
      <c r="F69" s="32" t="inlineStr">
        <is>
          <t>calls.status='no_show', same appointmentQuality query</t>
        </is>
      </c>
      <c r="G69" s="32" t="inlineStr">
        <is>
          <t>Page date-range picker</t>
        </is>
      </c>
      <c r="H69" s="27" t="inlineStr">
        <is>
          <t>LIVE</t>
        </is>
      </c>
      <c r="I69" s="33" t="inlineStr">
        <is>
          <t>SALE-0365</t>
        </is>
      </c>
    </row>
    <row r="70" ht="30" customHeight="1">
      <c r="A70" s="23" t="inlineStr">
        <is>
          <t>No-show Recovery</t>
        </is>
      </c>
      <c r="B70" s="39" t="n"/>
      <c r="C70" s="25" t="inlineStr">
        <is>
          <t>%</t>
        </is>
      </c>
      <c r="D70" s="25" t="inlineStr">
        <is>
          <t>DERIVED</t>
        </is>
      </c>
      <c r="E70" s="26" t="inlineStr">
        <is>
          <t>recovered_no_show_count ÷ no_show_count × 100</t>
        </is>
      </c>
      <c r="F70" s="26" t="inlineStr">
        <is>
          <t>calls.no_show_recovered, same appointmentQuality query</t>
        </is>
      </c>
      <c r="G70" s="26" t="inlineStr">
        <is>
          <t>Page date-range picker</t>
        </is>
      </c>
      <c r="H70" s="27" t="inlineStr">
        <is>
          <t>LIVE</t>
        </is>
      </c>
      <c r="I70" s="28" t="inlineStr">
        <is>
          <t>SALE-0366</t>
        </is>
      </c>
    </row>
    <row r="71" ht="6" customHeight="1"/>
  </sheetData>
  <autoFilter ref="A4:I70"/>
  <mergeCells count="7">
    <mergeCell ref="A29:I29"/>
    <mergeCell ref="A59:I59"/>
    <mergeCell ref="A51:I51"/>
    <mergeCell ref="A5:I5"/>
    <mergeCell ref="A36:I36"/>
    <mergeCell ref="A14:I14"/>
    <mergeCell ref="A48:I4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Sales Tracking &gt; Reps &gt; Closer</t>
        </is>
      </c>
    </row>
    <row r="2">
      <c r="A2" s="21" t="inlineStr">
        <is>
          <t>72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TARGETS</t>
        </is>
      </c>
    </row>
    <row r="6" ht="30" customHeight="1">
      <c r="A6" s="23" t="inlineStr">
        <is>
          <t>Shows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count(calls.showed=true) for this closer</t>
        </is>
      </c>
      <c r="F6" s="26" t="inlineStr">
        <is>
          <t>actualFromCalls("shows"), src/lib/rep-kpi-actuals.ts:106, calls query at closer.tsx:718-735 (month-to-date window)</t>
        </is>
      </c>
      <c r="G6" s="26" t="inlineStr">
        <is>
          <t>Calendar month-to-date (independent of the page's own range picker) — see kpi-targets.ts periodWindow()</t>
        </is>
      </c>
      <c r="H6" s="27" t="inlineStr">
        <is>
          <t>LIVE</t>
        </is>
      </c>
      <c r="I6" s="28" t="inlineStr">
        <is>
          <t>SALE-0367</t>
        </is>
      </c>
    </row>
    <row r="7" ht="30" customHeight="1">
      <c r="A7" s="29" t="inlineStr">
        <is>
          <t>Offers Made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count(calls.offer_made=true)</t>
        </is>
      </c>
      <c r="F7" s="32" t="inlineStr">
        <is>
          <t>actualFromCalls("offers_made"), rep-kpi-actuals.ts:108</t>
        </is>
      </c>
      <c r="G7" s="32" t="inlineStr">
        <is>
          <t>Calendar month-to-date</t>
        </is>
      </c>
      <c r="H7" s="27" t="inlineStr">
        <is>
          <t>LIVE</t>
        </is>
      </c>
      <c r="I7" s="33" t="inlineStr">
        <is>
          <t>SALE-0368</t>
        </is>
      </c>
    </row>
    <row r="8" ht="30" customHeight="1">
      <c r="A8" s="23" t="inlineStr">
        <is>
          <t>Closes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count(calls.closed=true) — uses ONLY r.closed</t>
        </is>
      </c>
      <c r="F8" s="26" t="inlineStr">
        <is>
          <t>actualFromCalls("closes"), rep-kpi-actuals.ts:110</t>
        </is>
      </c>
      <c r="G8" s="26" t="inlineStr">
        <is>
          <t>Calendar month-to-date</t>
        </is>
      </c>
      <c r="H8" s="27" t="inlineStr">
        <is>
          <t>LIVE</t>
        </is>
      </c>
      <c r="I8" s="28" t="inlineStr">
        <is>
          <t>SALE-0369</t>
        </is>
      </c>
    </row>
    <row r="9" ht="30" customHeight="1">
      <c r="A9" s="29" t="inlineStr">
        <is>
          <t>Close Rate</t>
        </is>
      </c>
      <c r="B9" s="35">
        <f>IF(N(B22)=0,"",B8/B22)</f>
        <v/>
      </c>
      <c r="C9" s="31" t="inlineStr">
        <is>
          <t>%</t>
        </is>
      </c>
      <c r="D9" s="31" t="inlineStr">
        <is>
          <t>DERIVED</t>
        </is>
      </c>
      <c r="E9" s="32" t="inlineStr">
        <is>
          <t>closes(closed=true) ÷ shows(showed=true) × 100; null if shows=0</t>
        </is>
      </c>
      <c r="F9" s="32" t="inlineStr">
        <is>
          <t>actualFromCalls("close_rate_pct"), rep-kpi-actuals.ts:111-118</t>
        </is>
      </c>
      <c r="G9" s="32" t="inlineStr">
        <is>
          <t>Calendar month-to-date</t>
        </is>
      </c>
      <c r="H9" s="27" t="inlineStr">
        <is>
          <t>LIVE</t>
        </is>
      </c>
      <c r="I9" s="33" t="inlineStr">
        <is>
          <t>SALE-0370</t>
        </is>
      </c>
    </row>
    <row r="10" ht="30" customHeight="1">
      <c r="A10" s="23" t="inlineStr">
        <is>
          <t>Cash Collected</t>
        </is>
      </c>
      <c r="B10" s="34" t="n"/>
      <c r="C10" s="25" t="inlineStr">
        <is>
          <t>$ (cents)</t>
        </is>
      </c>
      <c r="D10" s="25" t="inlineStr">
        <is>
          <t>AGGREGATED</t>
        </is>
      </c>
      <c r="E10" s="26" t="inlineStr">
        <is>
          <t>sum(calls.cash_collected_cents) for this closer</t>
        </is>
      </c>
      <c r="F10" s="26" t="inlineStr">
        <is>
          <t>actualFromCalls("cash_collected_cents"), rep-kpi-actuals.ts:120</t>
        </is>
      </c>
      <c r="G10" s="26" t="inlineStr">
        <is>
          <t>Calendar month-to-date</t>
        </is>
      </c>
      <c r="H10" s="27" t="inlineStr">
        <is>
          <t>LIVE</t>
        </is>
      </c>
      <c r="I10" s="28" t="inlineStr">
        <is>
          <t>SALE-0371</t>
        </is>
      </c>
    </row>
    <row r="11" ht="30" customHeight="1">
      <c r="A11" s="29" t="inlineStr">
        <is>
          <t>Contracted Revenue</t>
        </is>
      </c>
      <c r="B11" s="34" t="n"/>
      <c r="C11" s="31" t="inlineStr">
        <is>
          <t>$ (cents)</t>
        </is>
      </c>
      <c r="D11" s="31" t="inlineStr">
        <is>
          <t>AGGREGATED</t>
        </is>
      </c>
      <c r="E11" s="32" t="inlineStr">
        <is>
          <t>sum(calls.contract_value_cents)</t>
        </is>
      </c>
      <c r="F11" s="32" t="inlineStr">
        <is>
          <t>actualFromCalls("contract_value_cents"), rep-kpi-actuals.ts:122</t>
        </is>
      </c>
      <c r="G11" s="32" t="inlineStr">
        <is>
          <t>Calendar month-to-date</t>
        </is>
      </c>
      <c r="H11" s="27" t="inlineStr">
        <is>
          <t>LIVE</t>
        </is>
      </c>
      <c r="I11" s="33" t="inlineStr">
        <is>
          <t>SALE-0372</t>
        </is>
      </c>
    </row>
    <row r="12" ht="30" customHeight="1">
      <c r="A12" s="23" t="inlineStr">
        <is>
          <t>Follow-ups Logged</t>
        </is>
      </c>
      <c r="B12" s="37" t="n"/>
      <c r="C12" s="25" t="inlineStr">
        <is>
          <t>count</t>
        </is>
      </c>
      <c r="D12" s="25" t="inlineStr">
        <is>
          <t>AGGREGATED</t>
        </is>
      </c>
      <c r="E12" s="26" t="inlineStr">
        <is>
          <t>count(calls.status==='follow_up')</t>
        </is>
      </c>
      <c r="F12" s="26" t="inlineStr">
        <is>
          <t>actualFromCalls("follow_ups_logged"), rep-kpi-actuals.ts:124</t>
        </is>
      </c>
      <c r="G12" s="26" t="inlineStr">
        <is>
          <t>Calendar month-to-date</t>
        </is>
      </c>
      <c r="H12" s="27" t="inlineStr">
        <is>
          <t>LIVE</t>
        </is>
      </c>
      <c r="I12" s="28" t="inlineStr">
        <is>
          <t>SALE-0373</t>
        </is>
      </c>
    </row>
    <row r="13" ht="6" customHeight="1"/>
    <row r="14" ht="20" customHeight="1">
      <c r="A14" s="22" t="inlineStr">
        <is>
          <t>MONEY &amp; CLOSING</t>
        </is>
      </c>
    </row>
    <row r="15" ht="30" customHeight="1">
      <c r="A15" s="29" t="inlineStr">
        <is>
          <t>Cash Collected</t>
        </is>
      </c>
      <c r="B15" s="37" t="n"/>
      <c r="C15" s="31" t="inlineStr">
        <is>
          <t xml:space="preserve"> OR max(that</t>
        </is>
      </c>
      <c r="D15" s="31" t="inlineStr">
        <is>
          <t>AGGREGATED</t>
        </is>
      </c>
      <c r="E15" s="32" t="inlineStr">
        <is>
          <t>Σ calls.cash_collected_cents</t>
        </is>
      </c>
      <c r="F15" s="32" t="inlineStr">
        <is>
          <t>cashCents = Math.max(callsCash, setCash) when no rep filter (closer.tsx:1097); callsCash=Σcalls.cash_collected_cents (1079)</t>
        </is>
      </c>
      <c r="G15" s="32" t="inlineStr">
        <is>
          <t xml:space="preserve"> Σ setter_activity.cash_collected_cents) when viewing 'all reps'</t>
        </is>
      </c>
      <c r="H15" s="27" t="inlineStr">
        <is>
          <t>LIVE</t>
        </is>
      </c>
      <c r="I15" s="33" t="inlineStr">
        <is>
          <t>SALE-0374</t>
        </is>
      </c>
    </row>
    <row r="16" ht="30" customHeight="1">
      <c r="A16" s="23" t="inlineStr">
        <is>
          <t>Revenue Generated</t>
        </is>
      </c>
      <c r="B16" s="34" t="n"/>
      <c r="C16" s="25" t="inlineStr">
        <is>
          <t>$ (cents)</t>
        </is>
      </c>
      <c r="D16" s="25" t="inlineStr">
        <is>
          <t>AGGREGATED</t>
        </is>
      </c>
      <c r="E16" s="26" t="inlineStr">
        <is>
          <t>Σ calls.contract_value_cents (or max vs setter_activity)</t>
        </is>
      </c>
      <c r="F16" s="26" t="inlineStr">
        <is>
          <t>revCents = Math.max(callsRev, setRev), closer.tsx:1098; callsRev=Σcalls.contract_value_cents (1080)</t>
        </is>
      </c>
      <c r="G16" s="26" t="inlineStr">
        <is>
          <t>Page date-range picker</t>
        </is>
      </c>
      <c r="H16" s="27" t="inlineStr">
        <is>
          <t>LIVE</t>
        </is>
      </c>
      <c r="I16" s="28" t="inlineStr">
        <is>
          <t>SALE-0375</t>
        </is>
      </c>
    </row>
    <row r="17" ht="30" customHeight="1">
      <c r="A17" s="29" t="inlineStr">
        <is>
          <t>Cash Collection Rate</t>
        </is>
      </c>
      <c r="B17" s="35">
        <f>IF(N(B16)=0,"",B15/B16)</f>
        <v/>
      </c>
      <c r="C17" s="31" t="inlineStr">
        <is>
          <t>%</t>
        </is>
      </c>
      <c r="D17" s="31" t="inlineStr">
        <is>
          <t>DERIVED</t>
        </is>
      </c>
      <c r="E17" s="32" t="inlineStr">
        <is>
          <t>cashCents ÷ revCents × 100; null if revCents=0</t>
        </is>
      </c>
      <c r="F17" s="32" t="inlineStr">
        <is>
          <t>closer.tsx:3091 cashRatePctNow</t>
        </is>
      </c>
      <c r="G17" s="32" t="inlineStr">
        <is>
          <t>Page date-range picker</t>
        </is>
      </c>
      <c r="H17" s="27" t="inlineStr">
        <is>
          <t>LIVE</t>
        </is>
      </c>
      <c r="I17" s="33" t="inlineStr">
        <is>
          <t>SALE-0376</t>
        </is>
      </c>
    </row>
    <row r="18" ht="30" customHeight="1">
      <c r="A18" s="23" t="inlineStr">
        <is>
          <t>Avg Contract Value</t>
        </is>
      </c>
      <c r="B18" s="34" t="n"/>
      <c r="C18" s="25" t="inlineStr">
        <is>
          <t>$</t>
        </is>
      </c>
      <c r="D18" s="25" t="inlineStr">
        <is>
          <t>DERIVED</t>
        </is>
      </c>
      <c r="E18" s="26" t="inlineStr">
        <is>
          <t>revCents ÷ closes; null if closes=0</t>
        </is>
      </c>
      <c r="F18" s="26" t="inlineStr">
        <is>
          <t>closer.tsx:3093 avgContractValueCents</t>
        </is>
      </c>
      <c r="G18" s="26" t="inlineStr">
        <is>
          <t>Page date-range picker</t>
        </is>
      </c>
      <c r="H18" s="27" t="inlineStr">
        <is>
          <t>LIVE</t>
        </is>
      </c>
      <c r="I18" s="28" t="inlineStr">
        <is>
          <t>SALE-0377</t>
        </is>
      </c>
    </row>
    <row r="19" ht="30" customHeight="1">
      <c r="A19" s="29" t="inlineStr">
        <is>
          <t>Closes</t>
        </is>
      </c>
      <c r="B19" s="37" t="n"/>
      <c r="C19" s="31" t="inlineStr">
        <is>
          <t>count</t>
        </is>
      </c>
      <c r="D19" s="31" t="inlineStr">
        <is>
          <t>AGGREGATED</t>
        </is>
      </c>
      <c r="E19" s="32" t="inlineStr">
        <is>
          <t>count(closed=true OR status='closed')</t>
        </is>
      </c>
      <c r="F19" s="32" t="inlineStr">
        <is>
          <t>closes=Math.max(callsClosed,setClosed) (1095); callsClosed=list.filter(c.closed||c.status==="closed") (1078)</t>
        </is>
      </c>
      <c r="G19" s="32" t="inlineStr">
        <is>
          <t>Page date-range picker</t>
        </is>
      </c>
      <c r="H19" s="27" t="inlineStr">
        <is>
          <t>LIVE</t>
        </is>
      </c>
      <c r="I19" s="33" t="inlineStr">
        <is>
          <t>SALE-0378</t>
        </is>
      </c>
    </row>
    <row r="20" ht="30" customHeight="1">
      <c r="A20" s="23" t="inlineStr">
        <is>
          <t>Disqualified Leads</t>
        </is>
      </c>
      <c r="B20" s="37" t="n"/>
      <c r="C20" s="25" t="inlineStr">
        <is>
          <t>count</t>
        </is>
      </c>
      <c r="D20" s="25" t="inlineStr">
        <is>
          <t>AGGREGATED</t>
        </is>
      </c>
      <c r="E20" s="26" t="inlineStr">
        <is>
          <t>count(normalizeCloserDisposition(...)==='not_qualified')</t>
        </is>
      </c>
      <c r="F20" s="26" t="inlineStr">
        <is>
          <t>dqCount via normalizeCloserDisposition(status,closed,offer_made)==='not_qualified' (closer.tsx:1121-1127, src/lib/operating-workflows.ts:183-196) — effectively count(status==='disqualified')</t>
        </is>
      </c>
      <c r="G20" s="26" t="inlineStr">
        <is>
          <t>Page date-range picker</t>
        </is>
      </c>
      <c r="H20" s="27" t="inlineStr">
        <is>
          <t>LIVE</t>
        </is>
      </c>
      <c r="I20" s="28" t="inlineStr">
        <is>
          <t>SALE-0379</t>
        </is>
      </c>
    </row>
    <row r="21" ht="30" customHeight="1">
      <c r="A21" s="29" t="inlineStr">
        <is>
          <t>Calls Booked</t>
        </is>
      </c>
      <c r="B21" s="37" t="n"/>
      <c r="C21" s="31" t="inlineStr">
        <is>
          <t>count</t>
        </is>
      </c>
      <c r="D21" s="31" t="inlineStr">
        <is>
          <t>AGGREGATED</t>
        </is>
      </c>
      <c r="E21" s="32" t="inlineStr">
        <is>
          <t>count(calls in range) or max vs setter_activity</t>
        </is>
      </c>
      <c r="F21" s="32" t="inlineStr">
        <is>
          <t>onCalendar=Math.max(count(list),Σsetter_activity.calls_on_calendar), closer.tsx:1092</t>
        </is>
      </c>
      <c r="G21" s="32" t="inlineStr">
        <is>
          <t>Page date-range picker</t>
        </is>
      </c>
      <c r="H21" s="27" t="inlineStr">
        <is>
          <t>LIVE</t>
        </is>
      </c>
      <c r="I21" s="33" t="inlineStr">
        <is>
          <t>SALE-0380</t>
        </is>
      </c>
    </row>
    <row r="22" ht="30" customHeight="1">
      <c r="A22" s="23" t="inlineStr">
        <is>
          <t>Showed</t>
        </is>
      </c>
      <c r="B22" s="37" t="n"/>
      <c r="C22" s="25" t="inlineStr">
        <is>
          <t>count</t>
        </is>
      </c>
      <c r="D22" s="25" t="inlineStr">
        <is>
          <t>AGGREGATED</t>
        </is>
      </c>
      <c r="E22" s="26" t="inlineStr">
        <is>
          <t>count(calls.showed=true) or max vs setter_activity</t>
        </is>
      </c>
      <c r="F22" s="26" t="inlineStr">
        <is>
          <t>showed=Math.max(count(showed=true),Σsetter_activity.live_calls), closer.tsx:1093</t>
        </is>
      </c>
      <c r="G22" s="26" t="inlineStr">
        <is>
          <t>Page date-range picker</t>
        </is>
      </c>
      <c r="H22" s="27" t="inlineStr">
        <is>
          <t>LIVE</t>
        </is>
      </c>
      <c r="I22" s="28" t="inlineStr">
        <is>
          <t>SALE-0381</t>
        </is>
      </c>
    </row>
    <row r="23" ht="30" customHeight="1">
      <c r="A23" s="29" t="inlineStr">
        <is>
          <t>Offers Made</t>
        </is>
      </c>
      <c r="B23" s="37" t="n"/>
      <c r="C23" s="31" t="inlineStr">
        <is>
          <t>count</t>
        </is>
      </c>
      <c r="D23" s="31" t="inlineStr">
        <is>
          <t>AGGREGATED</t>
        </is>
      </c>
      <c r="E23" s="32" t="inlineStr">
        <is>
          <t>count(calls.offer_made=true)</t>
        </is>
      </c>
      <c r="F23" s="32" t="inlineStr">
        <is>
          <t>offers=callsOffers=count(offer_made=true), closer.tsx:1094,1077 — no day-log fallback</t>
        </is>
      </c>
      <c r="G23" s="32" t="inlineStr">
        <is>
          <t>Page date-range picker</t>
        </is>
      </c>
      <c r="H23" s="27" t="inlineStr">
        <is>
          <t>LIVE</t>
        </is>
      </c>
      <c r="I23" s="33" t="inlineStr">
        <is>
          <t>SALE-0382</t>
        </is>
      </c>
    </row>
    <row r="24" ht="6" customHeight="1"/>
    <row r="25" ht="20" customHeight="1">
      <c r="A25" s="22" t="inlineStr">
        <is>
          <t>RATE CHARTS</t>
        </is>
      </c>
    </row>
    <row r="26" ht="30" customHeight="1">
      <c r="A26" s="23" t="inlineStr">
        <is>
          <t>Show Rate</t>
        </is>
      </c>
      <c r="B26" s="35">
        <f>IF(N(B66)=0,"",B22/B66)</f>
        <v/>
      </c>
      <c r="C26" s="25" t="inlineStr">
        <is>
          <t>%</t>
        </is>
      </c>
      <c r="D26" s="25" t="inlineStr">
        <is>
          <t>DERIVED</t>
        </is>
      </c>
      <c r="E26" s="26" t="inlineStr">
        <is>
          <t>showed ÷ onCalendar × 100</t>
        </is>
      </c>
      <c r="F26" s="26" t="inlineStr">
        <is>
          <t>closer.tsx:3232 showPct=onCalendar?showed/onCalendar*100:0</t>
        </is>
      </c>
      <c r="G26" s="26" t="inlineStr">
        <is>
          <t>Page date-range picker</t>
        </is>
      </c>
      <c r="H26" s="27" t="inlineStr">
        <is>
          <t>LIVE</t>
        </is>
      </c>
      <c r="I26" s="28" t="inlineStr">
        <is>
          <t>SALE-0383</t>
        </is>
      </c>
    </row>
    <row r="27" ht="30" customHeight="1">
      <c r="A27" s="29" t="inlineStr">
        <is>
          <t>Offer Rate</t>
        </is>
      </c>
      <c r="B27" s="35">
        <f>IF(N(B22)=0,"",B87/B22)</f>
        <v/>
      </c>
      <c r="C27" s="31" t="inlineStr">
        <is>
          <t>%</t>
        </is>
      </c>
      <c r="D27" s="31" t="inlineStr">
        <is>
          <t>DERIVED</t>
        </is>
      </c>
      <c r="E27" s="32" t="inlineStr">
        <is>
          <t>offers ÷ showed × 100</t>
        </is>
      </c>
      <c r="F27" s="32" t="inlineStr">
        <is>
          <t>closer.tsx:3234 offerPct=showed?offers/showed*100:0</t>
        </is>
      </c>
      <c r="G27" s="32" t="inlineStr">
        <is>
          <t>Page date-range picker</t>
        </is>
      </c>
      <c r="H27" s="27" t="inlineStr">
        <is>
          <t>LIVE</t>
        </is>
      </c>
      <c r="I27" s="33" t="inlineStr">
        <is>
          <t>SALE-0384</t>
        </is>
      </c>
    </row>
    <row r="28" ht="30" customHeight="1">
      <c r="A28" s="23" t="inlineStr">
        <is>
          <t>Close Rate</t>
        </is>
      </c>
      <c r="B28" s="35">
        <f>IF(N(B22)=0,"",B8/B22)</f>
        <v/>
      </c>
      <c r="C28" s="25" t="inlineStr">
        <is>
          <t>%</t>
        </is>
      </c>
      <c r="D28" s="25" t="inlineStr">
        <is>
          <t>DERIVED</t>
        </is>
      </c>
      <c r="E28" s="26" t="inlineStr">
        <is>
          <t>closes ÷ showed × 100</t>
        </is>
      </c>
      <c r="F28" s="26" t="inlineStr">
        <is>
          <t>closer.tsx:3241 closeRatePct=showed?closes/showed*100:0; chart via seriesRatePoints("closed","showed"),3314</t>
        </is>
      </c>
      <c r="G28" s="26" t="inlineStr">
        <is>
          <t>Page date-range picker</t>
        </is>
      </c>
      <c r="H28" s="27" t="inlineStr">
        <is>
          <t>LIVE</t>
        </is>
      </c>
      <c r="I28" s="28" t="inlineStr">
        <is>
          <t>SALE-0385</t>
        </is>
      </c>
    </row>
    <row r="29" ht="30" customHeight="1">
      <c r="A29" s="29" t="inlineStr">
        <is>
          <t>Offer → Close Rate</t>
        </is>
      </c>
      <c r="B29" s="39" t="n"/>
      <c r="C29" s="31" t="inlineStr">
        <is>
          <t>%</t>
        </is>
      </c>
      <c r="D29" s="31" t="inlineStr">
        <is>
          <t>DERIVED</t>
        </is>
      </c>
      <c r="E29" s="32" t="inlineStr">
        <is>
          <t>closes ÷ offers × 100</t>
        </is>
      </c>
      <c r="F29" s="32" t="inlineStr">
        <is>
          <t>closer.tsx:3236 offerToClosePct=offers?closes/offers*100:0</t>
        </is>
      </c>
      <c r="G29" s="32" t="inlineStr">
        <is>
          <t>Page date-range picker</t>
        </is>
      </c>
      <c r="H29" s="27" t="inlineStr">
        <is>
          <t>LIVE</t>
        </is>
      </c>
      <c r="I29" s="33" t="inlineStr">
        <is>
          <t>SALE-0386</t>
        </is>
      </c>
    </row>
    <row r="30" ht="6" customHeight="1"/>
    <row r="31" ht="20" customHeight="1">
      <c r="A31" s="22" t="inlineStr">
        <is>
          <t>PAYMENT QUALITY</t>
        </is>
      </c>
    </row>
    <row r="32" ht="30" customHeight="1">
      <c r="A32" s="23" t="inlineStr">
        <is>
          <t>Avg Cash/Booked</t>
        </is>
      </c>
      <c r="B32" s="34" t="n"/>
      <c r="C32" s="25" t="inlineStr">
        <is>
          <t>$</t>
        </is>
      </c>
      <c r="D32" s="25" t="inlineStr">
        <is>
          <t>DERIVED</t>
        </is>
      </c>
      <c r="E32" s="26" t="inlineStr">
        <is>
          <t>cashCents ÷ onCalendar</t>
        </is>
      </c>
      <c r="F32" s="26" t="inlineStr">
        <is>
          <t>closer.tsx:1401 avgCashPerBooked=onCalendar?cashCents/onCalendar:0</t>
        </is>
      </c>
      <c r="G32" s="26" t="inlineStr">
        <is>
          <t>Page date-range picker</t>
        </is>
      </c>
      <c r="H32" s="27" t="inlineStr">
        <is>
          <t>LIVE</t>
        </is>
      </c>
      <c r="I32" s="28" t="inlineStr">
        <is>
          <t>SALE-0387</t>
        </is>
      </c>
    </row>
    <row r="33" ht="30" customHeight="1">
      <c r="A33" s="29" t="inlineStr">
        <is>
          <t>Avg Cash/Showed</t>
        </is>
      </c>
      <c r="B33" s="34" t="n"/>
      <c r="C33" s="31" t="inlineStr">
        <is>
          <t>$</t>
        </is>
      </c>
      <c r="D33" s="31" t="inlineStr">
        <is>
          <t>DERIVED</t>
        </is>
      </c>
      <c r="E33" s="32" t="inlineStr">
        <is>
          <t>cashCents ÷ showed</t>
        </is>
      </c>
      <c r="F33" s="32" t="inlineStr">
        <is>
          <t>closer.tsx:1402</t>
        </is>
      </c>
      <c r="G33" s="32" t="inlineStr">
        <is>
          <t>Page date-range picker</t>
        </is>
      </c>
      <c r="H33" s="27" t="inlineStr">
        <is>
          <t>LIVE</t>
        </is>
      </c>
      <c r="I33" s="33" t="inlineStr">
        <is>
          <t>SALE-0388</t>
        </is>
      </c>
    </row>
    <row r="34" ht="30" customHeight="1">
      <c r="A34" s="23" t="inlineStr">
        <is>
          <t>Avg Cash/Closed</t>
        </is>
      </c>
      <c r="B34" s="34" t="n"/>
      <c r="C34" s="25" t="inlineStr">
        <is>
          <t>$</t>
        </is>
      </c>
      <c r="D34" s="25" t="inlineStr">
        <is>
          <t>DERIVED</t>
        </is>
      </c>
      <c r="E34" s="26" t="inlineStr">
        <is>
          <t>cashCents ÷ closes</t>
        </is>
      </c>
      <c r="F34" s="26" t="inlineStr">
        <is>
          <t>closer.tsx:1403</t>
        </is>
      </c>
      <c r="G34" s="26" t="inlineStr">
        <is>
          <t>Page date-range picker</t>
        </is>
      </c>
      <c r="H34" s="27" t="inlineStr">
        <is>
          <t>LIVE</t>
        </is>
      </c>
      <c r="I34" s="28" t="inlineStr">
        <is>
          <t>SALE-0389</t>
        </is>
      </c>
    </row>
    <row r="35" ht="30" customHeight="1">
      <c r="A35" s="29" t="inlineStr">
        <is>
          <t>Deposits</t>
        </is>
      </c>
      <c r="B35" s="37" t="n"/>
      <c r="C35" s="31" t="inlineStr">
        <is>
          <t>count</t>
        </is>
      </c>
      <c r="D35" s="31" t="inlineStr">
        <is>
          <t>AGGREGATED</t>
        </is>
      </c>
      <c r="E35" s="32" t="inlineStr">
        <is>
          <t>count(calls.deposit_cents&gt;0)</t>
        </is>
      </c>
      <c r="F35" s="32" t="inlineStr">
        <is>
          <t>closer.tsx:1099 depositCount=list.filter(c.deposit_cents&gt;0).length</t>
        </is>
      </c>
      <c r="G35" s="32" t="inlineStr">
        <is>
          <t>Page date-range picker</t>
        </is>
      </c>
      <c r="H35" s="27" t="inlineStr">
        <is>
          <t>LIVE</t>
        </is>
      </c>
      <c r="I35" s="33" t="inlineStr">
        <is>
          <t>SALE-0390</t>
        </is>
      </c>
    </row>
    <row r="36" ht="30" customHeight="1">
      <c r="A36" s="23" t="inlineStr">
        <is>
          <t>Deposit Amount</t>
        </is>
      </c>
      <c r="B36" s="34" t="n"/>
      <c r="C36" s="25" t="inlineStr">
        <is>
          <t>$</t>
        </is>
      </c>
      <c r="D36" s="25" t="inlineStr">
        <is>
          <t>AGGREGATED</t>
        </is>
      </c>
      <c r="E36" s="26" t="inlineStr">
        <is>
          <t>Σ calls.deposit_cents</t>
        </is>
      </c>
      <c r="F36" s="26" t="inlineStr">
        <is>
          <t>closer.tsx:1100 depositAmountCents=Σdeposit_cents</t>
        </is>
      </c>
      <c r="G36" s="26" t="inlineStr">
        <is>
          <t>Page date-range picker</t>
        </is>
      </c>
      <c r="H36" s="27" t="inlineStr">
        <is>
          <t>LIVE</t>
        </is>
      </c>
      <c r="I36" s="28" t="inlineStr">
        <is>
          <t>SALE-0391</t>
        </is>
      </c>
    </row>
    <row r="37" ht="30" customHeight="1">
      <c r="A37" s="29" t="inlineStr">
        <is>
          <t>Deposit → Close</t>
        </is>
      </c>
      <c r="B37" s="39" t="n"/>
      <c r="C37" s="31" t="inlineStr">
        <is>
          <t>%</t>
        </is>
      </c>
      <c r="D37" s="31" t="inlineStr">
        <is>
          <t>DERIVED</t>
        </is>
      </c>
      <c r="E37" s="32" t="inlineStr">
        <is>
          <t>depositCount ÷ closes × 100; null if closes=0</t>
        </is>
      </c>
      <c r="F37" s="32" t="inlineStr">
        <is>
          <t>closer.tsx:1102 depositConversionPct</t>
        </is>
      </c>
      <c r="G37" s="32" t="inlineStr">
        <is>
          <t>Page date-range picker</t>
        </is>
      </c>
      <c r="H37" s="27" t="inlineStr">
        <is>
          <t>LIVE</t>
        </is>
      </c>
      <c r="I37" s="33" t="inlineStr">
        <is>
          <t>SALE-0392</t>
        </is>
      </c>
    </row>
    <row r="38" ht="30" customHeight="1">
      <c r="A38" s="23" t="inlineStr">
        <is>
          <t>Avg Deposit %</t>
        </is>
      </c>
      <c r="B38" s="37" t="n"/>
      <c r="C38" s="25" t="inlineStr">
        <is>
          <t>revCents) × 100</t>
        </is>
      </c>
      <c r="D38" s="25" t="inlineStr">
        <is>
          <t>DERIVED</t>
        </is>
      </c>
      <c r="E38" s="26" t="inlineStr">
        <is>
          <t>depositAmountCents ÷ max(1</t>
        </is>
      </c>
      <c r="F38" s="26" t="inlineStr">
        <is>
          <t>closer.tsx:1103-1104 averageDepositPct</t>
        </is>
      </c>
      <c r="G38" s="26" t="inlineStr">
        <is>
          <t>%</t>
        </is>
      </c>
      <c r="H38" s="27" t="inlineStr">
        <is>
          <t>LIVE</t>
        </is>
      </c>
      <c r="I38" s="28" t="inlineStr">
        <is>
          <t>SALE-0393</t>
        </is>
      </c>
    </row>
    <row r="39" ht="30" customHeight="1">
      <c r="A39" s="29" t="inlineStr">
        <is>
          <t>Payment Plan Uptake</t>
        </is>
      </c>
      <c r="B39" s="39" t="n"/>
      <c r="C39" s="31" t="inlineStr">
        <is>
          <t>%</t>
        </is>
      </c>
      <c r="D39" s="31" t="inlineStr">
        <is>
          <t>DERIVED</t>
        </is>
      </c>
      <c r="E39" s="32" t="inlineStr">
        <is>
          <t>count(calls.payment_plan=true) ÷ count(list), × 100</t>
        </is>
      </c>
      <c r="F39" s="32" t="inlineStr">
        <is>
          <t>paymentPlanCount=list.filter(c.payment_plan===true).length (1101); inline JSX paymentPlanCount/list.length*100 (3431-3433)</t>
        </is>
      </c>
      <c r="G39" s="32" t="inlineStr">
        <is>
          <t>Page date-range picker</t>
        </is>
      </c>
      <c r="H39" s="40" t="inlineStr">
        <is>
          <t>NEEDS INTEGRATION</t>
        </is>
      </c>
      <c r="I39" s="33" t="inlineStr">
        <is>
          <t>SALE-0394</t>
        </is>
      </c>
    </row>
    <row r="40" ht="30" customHeight="1">
      <c r="A40" s="23" t="inlineStr">
        <is>
          <t>Payment Success Rate</t>
        </is>
      </c>
      <c r="B40" s="39" t="n"/>
      <c r="C40" s="25" t="inlineStr">
        <is>
          <t>%</t>
        </is>
      </c>
      <c r="D40" s="25" t="inlineStr">
        <is>
          <t>DERIVED</t>
        </is>
      </c>
      <c r="E40" s="26" t="inlineStr">
        <is>
          <t>count(payments.status='paid') ÷ count(callPayments) × 100</t>
        </is>
      </c>
      <c r="F40" s="26" t="inlineStr">
        <is>
          <t>paymentQualityStats.onTimeRatePct (closer.tsx:1226), built from a payments query .in("call_id",listCallIds) (1171-1183)</t>
        </is>
      </c>
      <c r="G40" s="26" t="inlineStr">
        <is>
          <t>Page date-range picker</t>
        </is>
      </c>
      <c r="H40" s="36" t="inlineStr">
        <is>
          <t>NOT AVAILABLE</t>
        </is>
      </c>
      <c r="I40" s="28" t="inlineStr">
        <is>
          <t>SALE-0395</t>
        </is>
      </c>
    </row>
    <row r="41" ht="30" customHeight="1">
      <c r="A41" s="29" t="inlineStr">
        <is>
          <t>Failed/Default Rate</t>
        </is>
      </c>
      <c r="B41" s="39" t="n"/>
      <c r="C41" s="31" t="inlineStr">
        <is>
          <t>%</t>
        </is>
      </c>
      <c r="D41" s="31" t="inlineStr">
        <is>
          <t>DERIVED</t>
        </is>
      </c>
      <c r="E41" s="32" t="inlineStr">
        <is>
          <t>count(status='failed') ÷ count(callPayments) × 100</t>
        </is>
      </c>
      <c r="F41" s="32" t="inlineStr">
        <is>
          <t>Same paymentQualityStats/payments join as SALE-0395</t>
        </is>
      </c>
      <c r="G41" s="32" t="inlineStr">
        <is>
          <t>Page date-range picker</t>
        </is>
      </c>
      <c r="H41" s="36" t="inlineStr">
        <is>
          <t>NOT AVAILABLE</t>
        </is>
      </c>
      <c r="I41" s="33" t="inlineStr">
        <is>
          <t>SALE-0396</t>
        </is>
      </c>
    </row>
    <row r="42" ht="30" customHeight="1">
      <c r="A42" s="23" t="inlineStr">
        <is>
          <t>Failed Payments</t>
        </is>
      </c>
      <c r="B42" s="37" t="n"/>
      <c r="C42" s="25" t="inlineStr">
        <is>
          <t>count</t>
        </is>
      </c>
      <c r="D42" s="25" t="inlineStr">
        <is>
          <t>AGGREGATED</t>
        </is>
      </c>
      <c r="E42" s="26" t="inlineStr">
        <is>
          <t>count(payments.status='failed')</t>
        </is>
      </c>
      <c r="F42" s="26" t="inlineStr">
        <is>
          <t>Same paymentQualityStats</t>
        </is>
      </c>
      <c r="G42" s="26" t="inlineStr">
        <is>
          <t>Page date-range picker</t>
        </is>
      </c>
      <c r="H42" s="36" t="inlineStr">
        <is>
          <t>NOT AVAILABLE</t>
        </is>
      </c>
      <c r="I42" s="28" t="inlineStr">
        <is>
          <t>SALE-0397</t>
        </is>
      </c>
    </row>
    <row r="43" ht="30" customHeight="1">
      <c r="A43" s="29" t="inlineStr">
        <is>
          <t>Recovered Failed Payments</t>
        </is>
      </c>
      <c r="B43" s="37" t="n"/>
      <c r="C43" s="31" t="inlineStr">
        <is>
          <t>count</t>
        </is>
      </c>
      <c r="D43" s="31" t="inlineStr">
        <is>
          <t>AGGREGATED</t>
        </is>
      </c>
      <c r="E43" s="32" t="inlineStr">
        <is>
          <t>count of failed payments with a later 'paid' payment on the same call_id</t>
        </is>
      </c>
      <c r="F43" s="32" t="inlineStr">
        <is>
          <t>paymentQualityStats.recoveredFailedCount (1219-1228), labeled "(inferred)" in the UI (3011)</t>
        </is>
      </c>
      <c r="G43" s="32" t="inlineStr">
        <is>
          <t>Page date-range picker</t>
        </is>
      </c>
      <c r="H43" s="36" t="inlineStr">
        <is>
          <t>NOT AVAILABLE</t>
        </is>
      </c>
      <c r="I43" s="33" t="inlineStr">
        <is>
          <t>SALE-0398</t>
        </is>
      </c>
    </row>
    <row r="44" ht="30" customHeight="1">
      <c r="A44" s="23" t="inlineStr">
        <is>
          <t>Deposit → Full Payment</t>
        </is>
      </c>
      <c r="B44" s="39" t="n"/>
      <c r="C44" s="25" t="inlineStr">
        <is>
          <t>%</t>
        </is>
      </c>
      <c r="D44" s="25" t="inlineStr">
        <is>
          <t>DERIVED</t>
        </is>
      </c>
      <c r="E44" s="26" t="inlineStr">
        <is>
          <t>count(fullyPaid) ÷ count(depositedCalls) × 100, where fullyPaid requires Σpaid(call_id) ≥ contract_value_cents</t>
        </is>
      </c>
      <c r="F44" s="26" t="inlineStr">
        <is>
          <t>paymentQualityStats.depositToFullPaymentPct (1230-1232)</t>
        </is>
      </c>
      <c r="G44" s="26" t="inlineStr">
        <is>
          <t>Page date-range picker</t>
        </is>
      </c>
      <c r="H44" s="36" t="inlineStr">
        <is>
          <t>NOT AVAILABLE</t>
        </is>
      </c>
      <c r="I44" s="28" t="inlineStr">
        <is>
          <t>SALE-0399</t>
        </is>
      </c>
    </row>
    <row r="45" ht="30" customHeight="1">
      <c r="A45" s="29" t="inlineStr">
        <is>
          <t>Future Scheduled Cash</t>
        </is>
      </c>
      <c r="B45" s="37" t="n"/>
      <c r="C45" s="31" t="inlineStr">
        <is>
          <t xml:space="preserve"> contract_value_cents − Σpaid(call_id)) over payment-plan calls</t>
        </is>
      </c>
      <c r="D45" s="31" t="inlineStr">
        <is>
          <t>AGGREGATED</t>
        </is>
      </c>
      <c r="E45" s="32" t="inlineStr">
        <is>
          <t>Σ max(0</t>
        </is>
      </c>
      <c r="F45" s="32" t="inlineStr">
        <is>
          <t>paymentQualityStats.futureScheduledCents (1201-1204,1234)</t>
        </is>
      </c>
      <c r="G45" s="32" t="inlineStr">
        <is>
          <t>$</t>
        </is>
      </c>
      <c r="H45" s="36" t="inlineStr">
        <is>
          <t>PLACEHOLDER</t>
        </is>
      </c>
      <c r="I45" s="33" t="inlineStr">
        <is>
          <t>SALE-0400</t>
        </is>
      </c>
    </row>
    <row r="46" ht="30" customHeight="1">
      <c r="A46" s="23" t="inlineStr">
        <is>
          <t>Downsells</t>
        </is>
      </c>
      <c r="B46" s="37" t="n"/>
      <c r="C46" s="25" t="inlineStr">
        <is>
          <t>count</t>
        </is>
      </c>
      <c r="D46" s="25" t="inlineStr">
        <is>
          <t>AGGREGATED</t>
        </is>
      </c>
      <c r="E46" s="26" t="inlineStr">
        <is>
          <t>Σ setter_activity.downsells — only when viewing ALL reps (useDayLogs=true)</t>
        </is>
      </c>
      <c r="F46" s="26" t="inlineStr">
        <is>
          <t>downsells=useDayLogs?setDowns:0 (1096); setDowns=Σsetter_activity.downsells (1086)</t>
        </is>
      </c>
      <c r="G46" s="26" t="inlineStr">
        <is>
          <t>Page date-range picker</t>
        </is>
      </c>
      <c r="H46" s="27" t="inlineStr">
        <is>
          <t>LIVE</t>
        </is>
      </c>
      <c r="I46" s="28" t="inlineStr">
        <is>
          <t>SALE-0401</t>
        </is>
      </c>
    </row>
    <row r="47" ht="6" customHeight="1"/>
    <row r="48" ht="20" customHeight="1">
      <c r="A48" s="22" t="inlineStr">
        <is>
          <t>NO-SHOW RECOVERY</t>
        </is>
      </c>
    </row>
    <row r="49" ht="30" customHeight="1">
      <c r="A49" s="29" t="inlineStr">
        <is>
          <t>No-shows in range</t>
        </is>
      </c>
      <c r="B49" s="37" t="n"/>
      <c r="C49" s="31" t="inlineStr">
        <is>
          <t>count</t>
        </is>
      </c>
      <c r="D49" s="31" t="inlineStr">
        <is>
          <t>AGGREGATED</t>
        </is>
      </c>
      <c r="E49" s="32" t="inlineStr">
        <is>
          <t>count(calls.status='no_show')</t>
        </is>
      </c>
      <c r="F49" s="32" t="inlineStr">
        <is>
          <t>noShowRecovery.noShowCount=list.filter(status==='no_show').length (closer.tsx:1835,1847)</t>
        </is>
      </c>
      <c r="G49" s="32" t="inlineStr">
        <is>
          <t>Page date-range picker</t>
        </is>
      </c>
      <c r="H49" s="27" t="inlineStr">
        <is>
          <t>LIVE</t>
        </is>
      </c>
      <c r="I49" s="33" t="inlineStr">
        <is>
          <t>SALE-0402</t>
        </is>
      </c>
    </row>
    <row r="50" ht="30" customHeight="1">
      <c r="A50" s="23" t="inlineStr">
        <is>
          <t>No-shows Rebooked</t>
        </is>
      </c>
      <c r="B50" s="37" t="n"/>
      <c r="C50" s="25" t="inlineStr">
        <is>
          <t>count</t>
        </is>
      </c>
      <c r="D50" s="25" t="inlineStr">
        <is>
          <t>AGGREGATED</t>
        </is>
      </c>
      <c r="E50" s="26" t="inlineStr">
        <is>
          <t>count of no-shows with ≥1 call where recovered_from_call_id===that no-show's id</t>
        </is>
      </c>
      <c r="F50" s="26" t="inlineStr">
        <is>
          <t>rebookedCount via calls.recovered_from_call_id linkage (1843,1848)</t>
        </is>
      </c>
      <c r="G50" s="26" t="inlineStr">
        <is>
          <t>Page date-range picker</t>
        </is>
      </c>
      <c r="H50" s="27" t="inlineStr">
        <is>
          <t>LIVE</t>
        </is>
      </c>
      <c r="I50" s="28" t="inlineStr">
        <is>
          <t>SALE-0403</t>
        </is>
      </c>
    </row>
    <row r="51" ht="30" customHeight="1">
      <c r="A51" s="29" t="inlineStr">
        <is>
          <t>Recovered Show Rate</t>
        </is>
      </c>
      <c r="B51" s="39" t="n"/>
      <c r="C51" s="31" t="inlineStr">
        <is>
          <t>%</t>
        </is>
      </c>
      <c r="D51" s="31" t="inlineStr">
        <is>
          <t>DERIVED</t>
        </is>
      </c>
      <c r="E51" s="32" t="inlineStr">
        <is>
          <t>recovered ÷ no-shows × 100</t>
        </is>
      </c>
      <c r="F51" s="32" t="inlineStr">
        <is>
          <t>closer.tsx:1849 recoveredShowRate=noShows.length?recovered.length/noShows.length*100:null</t>
        </is>
      </c>
      <c r="G51" s="32" t="inlineStr">
        <is>
          <t>Page date-range picker</t>
        </is>
      </c>
      <c r="H51" s="27" t="inlineStr">
        <is>
          <t>LIVE</t>
        </is>
      </c>
      <c r="I51" s="33" t="inlineStr">
        <is>
          <t>SALE-0404</t>
        </is>
      </c>
    </row>
    <row r="52" ht="30" customHeight="1">
      <c r="A52" s="23" t="inlineStr">
        <is>
          <t>Recovered Close Rate</t>
        </is>
      </c>
      <c r="B52" s="39" t="n"/>
      <c r="C52" s="25" t="inlineStr">
        <is>
          <t>%</t>
        </is>
      </c>
      <c r="D52" s="25" t="inlineStr">
        <is>
          <t>DERIVED</t>
        </is>
      </c>
      <c r="E52" s="26" t="inlineStr">
        <is>
          <t>recoveredClosed ÷ recovered × 100</t>
        </is>
      </c>
      <c r="F52" s="26" t="inlineStr">
        <is>
          <t>closer.tsx:1850-1851 recoveredCloseRate</t>
        </is>
      </c>
      <c r="G52" s="26" t="inlineStr">
        <is>
          <t>Page date-range picker</t>
        </is>
      </c>
      <c r="H52" s="27" t="inlineStr">
        <is>
          <t>LIVE</t>
        </is>
      </c>
      <c r="I52" s="28" t="inlineStr">
        <is>
          <t>SALE-0405</t>
        </is>
      </c>
    </row>
    <row r="53" ht="6" customHeight="1"/>
    <row r="54" ht="20" customHeight="1">
      <c r="A54" s="22" t="inlineStr">
        <is>
          <t>CALL QUALITY</t>
        </is>
      </c>
    </row>
    <row r="55" ht="30" customHeight="1">
      <c r="A55" s="29" t="inlineStr">
        <is>
          <t>Average Call Duration</t>
        </is>
      </c>
      <c r="B55" s="37" t="n"/>
      <c r="C55" s="31" t="inlineStr">
        <is>
          <t>seconds</t>
        </is>
      </c>
      <c r="D55" s="31" t="inlineStr">
        <is>
          <t>AGGREGATED</t>
        </is>
      </c>
      <c r="E55" s="32" t="inlineStr">
        <is>
          <t>avg(duration_seconds) over rows with a non-null value</t>
        </is>
      </c>
      <c r="F55" s="32" t="inlineStr">
        <is>
          <t>calls.duration_seconds, avgCallDurationSeconds (closer.tsx:1150-1152)</t>
        </is>
      </c>
      <c r="G55" s="32" t="inlineStr">
        <is>
          <t>Page date-range picker</t>
        </is>
      </c>
      <c r="H55" s="27" t="inlineStr">
        <is>
          <t>LIVE</t>
        </is>
      </c>
      <c r="I55" s="33" t="inlineStr">
        <is>
          <t>SALE-0406</t>
        </is>
      </c>
    </row>
    <row r="56" ht="30" customHeight="1">
      <c r="A56" s="23" t="inlineStr">
        <is>
          <t>Average Talk Time</t>
        </is>
      </c>
      <c r="B56" s="37" t="n"/>
      <c r="C56" s="25" t="inlineStr">
        <is>
          <t>seconds</t>
        </is>
      </c>
      <c r="D56" s="25" t="inlineStr">
        <is>
          <t>AGGREGATED</t>
        </is>
      </c>
      <c r="E56" s="26" t="inlineStr">
        <is>
          <t>avg(talk_seconds) over rows with non-null value</t>
        </is>
      </c>
      <c r="F56" s="26" t="inlineStr">
        <is>
          <t>calls.talk_seconds, avgTalkSeconds (1153-1155)</t>
        </is>
      </c>
      <c r="G56" s="26" t="inlineStr">
        <is>
          <t>Page date-range picker</t>
        </is>
      </c>
      <c r="H56" s="27" t="inlineStr">
        <is>
          <t>LIVE</t>
        </is>
      </c>
      <c r="I56" s="28" t="inlineStr">
        <is>
          <t>SALE-0407</t>
        </is>
      </c>
    </row>
    <row r="57" ht="30" customHeight="1">
      <c r="A57" s="29" t="inlineStr">
        <is>
          <t>Talk/Listen Ratio</t>
        </is>
      </c>
      <c r="B57" s="39" t="n"/>
      <c r="C57" s="31" t="inlineStr">
        <is>
          <t>%</t>
        </is>
      </c>
      <c r="D57" s="31" t="inlineStr">
        <is>
          <t>DERIVED</t>
        </is>
      </c>
      <c r="E57" s="32" t="inlineStr">
        <is>
          <t>avg(talk_seconds/duration_seconds) over rows with both fields present and duration_seconds&gt;0 × 100</t>
        </is>
      </c>
      <c r="F57" s="32" t="inlineStr">
        <is>
          <t>avgTalkListenRatioPct (1156-1165)</t>
        </is>
      </c>
      <c r="G57" s="32" t="inlineStr">
        <is>
          <t>Page date-range picker</t>
        </is>
      </c>
      <c r="H57" s="27" t="inlineStr">
        <is>
          <t>LIVE</t>
        </is>
      </c>
      <c r="I57" s="33" t="inlineStr">
        <is>
          <t>SALE-0408</t>
        </is>
      </c>
    </row>
    <row r="58" ht="30" customHeight="1">
      <c r="A58" s="23" t="inlineStr">
        <is>
          <t>Calls Reviewed</t>
        </is>
      </c>
      <c r="B58" s="37" t="n"/>
      <c r="C58" s="25" t="inlineStr">
        <is>
          <t>count</t>
        </is>
      </c>
      <c r="D58" s="25" t="inlineStr">
        <is>
          <t>AGGREGATED</t>
        </is>
      </c>
      <c r="E58" s="26" t="inlineStr">
        <is>
          <t>count(*) from call_coaching_reviews where org_id=... and created_at in range</t>
        </is>
      </c>
      <c r="F58" s="26" t="inlineStr">
        <is>
          <t>call_coaching_reviews, count query (closer.tsx:1239-1252), table from supabase/migrations/20260903161218_phase2...sql:53-77</t>
        </is>
      </c>
      <c r="G58" s="26" t="inlineStr">
        <is>
          <t>Page date-range picker</t>
        </is>
      </c>
      <c r="H58" s="27" t="inlineStr">
        <is>
          <t>LIVE</t>
        </is>
      </c>
      <c r="I58" s="28" t="inlineStr">
        <is>
          <t>SALE-0409</t>
        </is>
      </c>
    </row>
    <row r="59" ht="6" customHeight="1"/>
    <row r="60" ht="20" customHeight="1">
      <c r="A60" s="22" t="inlineStr">
        <is>
          <t>PIPELINE</t>
        </is>
      </c>
    </row>
    <row r="61" ht="30" customHeight="1">
      <c r="A61" s="29" t="inlineStr">
        <is>
          <t>Deals Expected to Close</t>
        </is>
      </c>
      <c r="B61" s="37" t="n"/>
      <c r="C61" s="31" t="inlineStr">
        <is>
          <t>follow_up</t>
        </is>
      </c>
      <c r="D61" s="31" t="inlineStr">
        <is>
          <t>AGGREGATED</t>
        </is>
      </c>
      <c r="E61" s="32" t="inlineStr">
        <is>
          <t>count(calls where status in [offer_made</t>
        </is>
      </c>
      <c r="F61" s="32" t="inlineStr">
        <is>
          <t>dealsExpectedToClose (closer.tsx:1822-1831)</t>
        </is>
      </c>
      <c r="G61" s="32" t="inlineStr">
        <is>
          <t>booked] AND scheduled_for within range)</t>
        </is>
      </c>
      <c r="H61" s="27" t="inlineStr">
        <is>
          <t>LIVE</t>
        </is>
      </c>
      <c r="I61" s="33" t="inlineStr">
        <is>
          <t>SALE-0410</t>
        </is>
      </c>
    </row>
    <row r="62" ht="30" customHeight="1">
      <c r="A62" s="23" t="inlineStr">
        <is>
          <t>Active Follow-ups</t>
        </is>
      </c>
      <c r="B62" s="37" t="n"/>
      <c r="C62" s="25" t="inlineStr">
        <is>
          <t>count</t>
        </is>
      </c>
      <c r="D62" s="25" t="inlineStr">
        <is>
          <t>DERIVED</t>
        </is>
      </c>
      <c r="E62" s="26" t="inlineStr">
        <is>
          <t>count(status='follow_up') minus overdue count</t>
        </is>
      </c>
      <c r="F62" s="26" t="inlineStr">
        <is>
          <t>activeFollowUpsCount=followUps.length-overdueFollowUps.length (1814)</t>
        </is>
      </c>
      <c r="G62" s="26" t="inlineStr">
        <is>
          <t>Page date-range picker</t>
        </is>
      </c>
      <c r="H62" s="27" t="inlineStr">
        <is>
          <t>LIVE</t>
        </is>
      </c>
      <c r="I62" s="28" t="inlineStr">
        <is>
          <t>SALE-0411</t>
        </is>
      </c>
    </row>
    <row r="63" ht="30" customHeight="1">
      <c r="A63" s="29" t="inlineStr">
        <is>
          <t>Overdue Follow-ups</t>
        </is>
      </c>
      <c r="B63" s="30" t="inlineStr">
        <is>
          <t>n/a</t>
        </is>
      </c>
      <c r="C63" s="31" t="inlineStr">
        <is>
          <t>count</t>
        </is>
      </c>
      <c r="D63" s="31" t="inlineStr">
        <is>
          <t>STATUS</t>
        </is>
      </c>
      <c r="E63" s="32" t="inlineStr">
        <is>
          <t>followUps.filter(requestedFollowUpDate &lt; now)</t>
        </is>
      </c>
      <c r="F63" s="32" t="inlineStr">
        <is>
          <t>overdueFollowUps (1806-1813), requestedFollowUpDate=requested_followup_at ?? scheduled_for (1784-1787)</t>
        </is>
      </c>
      <c r="G63" s="32" t="inlineStr">
        <is>
          <t>Real-time (now) against logged dates</t>
        </is>
      </c>
      <c r="H63" s="27" t="inlineStr">
        <is>
          <t>LIVE</t>
        </is>
      </c>
      <c r="I63" s="33" t="inlineStr">
        <is>
          <t>SALE-0412</t>
        </is>
      </c>
    </row>
    <row r="64" ht="6" customHeight="1"/>
    <row r="65" ht="20" customHeight="1">
      <c r="A65" s="22" t="inlineStr">
        <is>
          <t>DISPOSITION MIX</t>
        </is>
      </c>
    </row>
    <row r="66" ht="30" customHeight="1">
      <c r="A66" s="23" t="inlineStr">
        <is>
          <t>Booked</t>
        </is>
      </c>
      <c r="B66" s="24" t="inlineStr">
        <is>
          <t>n/a</t>
        </is>
      </c>
      <c r="C66" s="25" t="inlineStr">
        <is>
          <t>count</t>
        </is>
      </c>
      <c r="D66" s="25" t="inlineStr">
        <is>
          <t>DIMENSION</t>
        </is>
      </c>
      <c r="E66" s="26" t="inlineStr">
        <is>
          <t>Not its own bucket — folded into 'follow_up' (line 194: status==='booked'||status==='showed' → 'follow_up')</t>
        </is>
      </c>
      <c r="F66" s="26" t="inlineStr">
        <is>
          <t>calls.status='booked', via normalizeCloserDisposition (operating-workflows.ts:183-196)</t>
        </is>
      </c>
      <c r="G66" s="26" t="inlineStr">
        <is>
          <t>Page date-range picker</t>
        </is>
      </c>
      <c r="H66" s="27" t="inlineStr">
        <is>
          <t>LIVE</t>
        </is>
      </c>
      <c r="I66" s="28" t="inlineStr">
        <is>
          <t>SALE-0413</t>
        </is>
      </c>
    </row>
    <row r="67" ht="30" customHeight="1">
      <c r="A67" s="29" t="inlineStr">
        <is>
          <t>Showed</t>
        </is>
      </c>
      <c r="B67" s="30" t="inlineStr">
        <is>
          <t>n/a</t>
        </is>
      </c>
      <c r="C67" s="31" t="inlineStr">
        <is>
          <t>count</t>
        </is>
      </c>
      <c r="D67" s="31" t="inlineStr">
        <is>
          <t>DIMENSION</t>
        </is>
      </c>
      <c r="E67" s="32" t="inlineStr">
        <is>
          <t>Same as SALE-0413 — folded into 'follow_up'</t>
        </is>
      </c>
      <c r="F67" s="32" t="inlineStr">
        <is>
          <t>calls.status='showed', via normalizeCloserDisposition</t>
        </is>
      </c>
      <c r="G67" s="32" t="inlineStr">
        <is>
          <t>Page date-range picker</t>
        </is>
      </c>
      <c r="H67" s="27" t="inlineStr">
        <is>
          <t>LIVE</t>
        </is>
      </c>
      <c r="I67" s="33" t="inlineStr">
        <is>
          <t>SALE-0414</t>
        </is>
      </c>
    </row>
    <row r="68" ht="30" customHeight="1">
      <c r="A68" s="23" t="inlineStr">
        <is>
          <t>No Show</t>
        </is>
      </c>
      <c r="B68" s="24" t="inlineStr">
        <is>
          <t>n/a</t>
        </is>
      </c>
      <c r="C68" s="25" t="inlineStr">
        <is>
          <t>count</t>
        </is>
      </c>
      <c r="D68" s="25" t="inlineStr">
        <is>
          <t>DIMENSION</t>
        </is>
      </c>
      <c r="E68" s="26" t="inlineStr">
        <is>
          <t>count(normalizeCloserDisposition===='no_show')</t>
        </is>
      </c>
      <c r="F68" s="26" t="inlineStr">
        <is>
          <t>operating-workflows.ts:189 if(status==='no_show') return 'no_show'</t>
        </is>
      </c>
      <c r="G68" s="26" t="inlineStr">
        <is>
          <t>Page date-range picker</t>
        </is>
      </c>
      <c r="H68" s="27" t="inlineStr">
        <is>
          <t>LIVE</t>
        </is>
      </c>
      <c r="I68" s="28" t="inlineStr">
        <is>
          <t>SALE-0415</t>
        </is>
      </c>
    </row>
    <row r="69" ht="30" customHeight="1">
      <c r="A69" s="29" t="inlineStr">
        <is>
          <t>Offer Made</t>
        </is>
      </c>
      <c r="B69" s="30" t="inlineStr">
        <is>
          <t>n/a</t>
        </is>
      </c>
      <c r="C69" s="31" t="inlineStr">
        <is>
          <t>count</t>
        </is>
      </c>
      <c r="D69" s="31" t="inlineStr">
        <is>
          <t>DIMENSION</t>
        </is>
      </c>
      <c r="E69" s="32" t="inlineStr">
        <is>
          <t>Any row with offer_made=true is bucketed 'follow_up' (192) before the 'deposit_pending' branch (193) can ever be reached in normal data</t>
        </is>
      </c>
      <c r="F69" s="32" t="inlineStr">
        <is>
          <t>operating-workflows.ts:192-193 — the offerMade boolean check (line 192) is evaluated BEFORE the status==='offer_made' check (line 193)</t>
        </is>
      </c>
      <c r="G69" s="32" t="inlineStr">
        <is>
          <t>Page date-range picker</t>
        </is>
      </c>
      <c r="H69" s="27" t="inlineStr">
        <is>
          <t>LIVE</t>
        </is>
      </c>
      <c r="I69" s="33" t="inlineStr">
        <is>
          <t>SALE-0416</t>
        </is>
      </c>
    </row>
    <row r="70" ht="30" customHeight="1">
      <c r="A70" s="23" t="inlineStr">
        <is>
          <t>Closed Won</t>
        </is>
      </c>
      <c r="B70" s="24" t="inlineStr">
        <is>
          <t>n/a</t>
        </is>
      </c>
      <c r="C70" s="25" t="inlineStr">
        <is>
          <t>count</t>
        </is>
      </c>
      <c r="D70" s="25" t="inlineStr">
        <is>
          <t>DIMENSION</t>
        </is>
      </c>
      <c r="E70" s="26" t="inlineStr">
        <is>
          <t>count(closed=true OR status='closed')</t>
        </is>
      </c>
      <c r="F70" s="26" t="inlineStr">
        <is>
          <t>operating-workflows.ts:188 if(closed||status==='closed') return 'closed_won'</t>
        </is>
      </c>
      <c r="G70" s="26" t="inlineStr">
        <is>
          <t>Page date-range picker</t>
        </is>
      </c>
      <c r="H70" s="27" t="inlineStr">
        <is>
          <t>LIVE</t>
        </is>
      </c>
      <c r="I70" s="28" t="inlineStr">
        <is>
          <t>SALE-0417</t>
        </is>
      </c>
    </row>
    <row r="71" ht="30" customHeight="1">
      <c r="A71" s="29" t="inlineStr">
        <is>
          <t>DQ</t>
        </is>
      </c>
      <c r="B71" s="30" t="inlineStr">
        <is>
          <t>n/a</t>
        </is>
      </c>
      <c r="C71" s="31" t="inlineStr">
        <is>
          <t>count</t>
        </is>
      </c>
      <c r="D71" s="31" t="inlineStr">
        <is>
          <t>DIMENSION</t>
        </is>
      </c>
      <c r="E71" s="32" t="inlineStr">
        <is>
          <t>count(status='disqualified')</t>
        </is>
      </c>
      <c r="F71" s="32" t="inlineStr">
        <is>
          <t>operating-workflows.ts:191 if(status==='disqualified') return 'not_qualified'</t>
        </is>
      </c>
      <c r="G71" s="32" t="inlineStr">
        <is>
          <t>Page date-range picker</t>
        </is>
      </c>
      <c r="H71" s="27" t="inlineStr">
        <is>
          <t>LIVE</t>
        </is>
      </c>
      <c r="I71" s="33" t="inlineStr">
        <is>
          <t>SALE-0418</t>
        </is>
      </c>
    </row>
    <row r="72" ht="30" customHeight="1">
      <c r="A72" s="23" t="inlineStr">
        <is>
          <t>Follow Up</t>
        </is>
      </c>
      <c r="B72" s="24" t="inlineStr">
        <is>
          <t>n/a</t>
        </is>
      </c>
      <c r="C72" s="25" t="inlineStr">
        <is>
          <t>count</t>
        </is>
      </c>
      <c r="D72" s="25" t="inlineStr">
        <is>
          <t>DIMENSION</t>
        </is>
      </c>
      <c r="E72" s="26" t="inlineStr">
        <is>
          <t>count of the 'follow_up' bucket (absorbs several distinct real states)</t>
        </is>
      </c>
      <c r="F72" s="26" t="inlineStr">
        <is>
          <t>operating-workflows.ts:192,194 — composite bucket: status==='follow_up' OR offer_made=true OR status in (booked,showed)</t>
        </is>
      </c>
      <c r="G72" s="26" t="inlineStr">
        <is>
          <t>Page date-range picker</t>
        </is>
      </c>
      <c r="H72" s="27" t="inlineStr">
        <is>
          <t>LIVE</t>
        </is>
      </c>
      <c r="I72" s="28" t="inlineStr">
        <is>
          <t>SALE-0419</t>
        </is>
      </c>
    </row>
    <row r="73" ht="30" customHeight="1">
      <c r="A73" s="29" t="inlineStr">
        <is>
          <t>Rescheduled (canonical); Closed</t>
        </is>
      </c>
      <c r="B73" s="30" t="inlineStr">
        <is>
          <t>n/a</t>
        </is>
      </c>
      <c r="C73" s="31" t="inlineStr">
        <is>
          <t>count</t>
        </is>
      </c>
      <c r="D73" s="31" t="inlineStr">
        <is>
          <t>DIMENSION</t>
        </is>
      </c>
      <c r="E73" s="32" t="inlineStr">
        <is>
          <t>count(status='rescheduled')</t>
        </is>
      </c>
      <c r="F73" s="32" t="inlineStr">
        <is>
          <t>operating-workflows.ts:190 if(status==='rescheduled') return 'reschedule'</t>
        </is>
      </c>
      <c r="G73" s="32" t="inlineStr">
        <is>
          <t>Page date-range picker</t>
        </is>
      </c>
      <c r="H73" s="27" t="inlineStr">
        <is>
          <t>LIVE</t>
        </is>
      </c>
      <c r="I73" s="33" t="inlineStr">
        <is>
          <t>SALE-0420</t>
        </is>
      </c>
    </row>
    <row r="74" ht="30" customHeight="1">
      <c r="A74" s="23" t="inlineStr">
        <is>
          <t>Follow-up</t>
        </is>
      </c>
      <c r="B74" s="24" t="inlineStr">
        <is>
          <t>n/a</t>
        </is>
      </c>
      <c r="C74" s="25" t="inlineStr">
        <is>
          <t>count</t>
        </is>
      </c>
      <c r="D74" s="25" t="inlineStr">
        <is>
          <t>DIMENSION</t>
        </is>
      </c>
      <c r="E74" s="26" t="inlineStr">
        <is>
          <t>count(calls.disposition='follow_up')</t>
        </is>
      </c>
      <c r="F74" s="26" t="inlineStr">
        <is>
          <t>calls.disposition='follow_up' (second, distinct taxonomy — manualDispositionMix, closer.tsx:1132-1147), DISPOSITION_OPTIONS (257-269), CHECK constraint from 20260903161218_phase2...sql</t>
        </is>
      </c>
      <c r="G74" s="26" t="inlineStr">
        <is>
          <t>Page date-range picker</t>
        </is>
      </c>
      <c r="H74" s="27" t="inlineStr">
        <is>
          <t>LIVE</t>
        </is>
      </c>
      <c r="I74" s="28" t="inlineStr">
        <is>
          <t>SALE-0421</t>
        </is>
      </c>
    </row>
    <row r="75" ht="30" customHeight="1">
      <c r="A75" s="29" t="inlineStr">
        <is>
          <t>Nurture</t>
        </is>
      </c>
      <c r="B75" s="30" t="inlineStr">
        <is>
          <t>n/a</t>
        </is>
      </c>
      <c r="C75" s="31" t="inlineStr">
        <is>
          <t>count</t>
        </is>
      </c>
      <c r="D75" s="31" t="inlineStr">
        <is>
          <t>DIMENSION</t>
        </is>
      </c>
      <c r="E75" s="32" t="inlineStr">
        <is>
          <t>count(calls.disposition='nurture')</t>
        </is>
      </c>
      <c r="F75" s="32" t="inlineStr">
        <is>
          <t>calls.disposition='nurture', manualDispositionMix</t>
        </is>
      </c>
      <c r="G75" s="32" t="inlineStr">
        <is>
          <t>Page date-range picker</t>
        </is>
      </c>
      <c r="H75" s="27" t="inlineStr">
        <is>
          <t>LIVE</t>
        </is>
      </c>
      <c r="I75" s="33" t="inlineStr">
        <is>
          <t>SALE-0422</t>
        </is>
      </c>
    </row>
    <row r="76" ht="30" customHeight="1">
      <c r="A76" s="23" t="inlineStr">
        <is>
          <t>No Decision</t>
        </is>
      </c>
      <c r="B76" s="24" t="inlineStr">
        <is>
          <t>n/a</t>
        </is>
      </c>
      <c r="C76" s="25" t="inlineStr">
        <is>
          <t>count</t>
        </is>
      </c>
      <c r="D76" s="25" t="inlineStr">
        <is>
          <t>DIMENSION</t>
        </is>
      </c>
      <c r="E76" s="26" t="inlineStr">
        <is>
          <t>count(calls.disposition='no_decision')</t>
        </is>
      </c>
      <c r="F76" s="26" t="inlineStr">
        <is>
          <t>calls.disposition='no_decision', manualDispositionMix</t>
        </is>
      </c>
      <c r="G76" s="26" t="inlineStr">
        <is>
          <t>Page date-range picker</t>
        </is>
      </c>
      <c r="H76" s="27" t="inlineStr">
        <is>
          <t>LIVE</t>
        </is>
      </c>
      <c r="I76" s="28" t="inlineStr">
        <is>
          <t>SALE-0423</t>
        </is>
      </c>
    </row>
    <row r="77" ht="30" customHeight="1">
      <c r="A77" s="29" t="inlineStr">
        <is>
          <t>Price</t>
        </is>
      </c>
      <c r="B77" s="30" t="inlineStr">
        <is>
          <t>n/a</t>
        </is>
      </c>
      <c r="C77" s="31" t="inlineStr">
        <is>
          <t>count</t>
        </is>
      </c>
      <c r="D77" s="31" t="inlineStr">
        <is>
          <t>DIMENSION</t>
        </is>
      </c>
      <c r="E77" s="32" t="inlineStr">
        <is>
          <t>count(calls.disposition='price')</t>
        </is>
      </c>
      <c r="F77" s="32" t="inlineStr">
        <is>
          <t>calls.disposition='price', manualDispositionMix</t>
        </is>
      </c>
      <c r="G77" s="32" t="inlineStr">
        <is>
          <t>Page date-range picker</t>
        </is>
      </c>
      <c r="H77" s="27" t="inlineStr">
        <is>
          <t>LIVE</t>
        </is>
      </c>
      <c r="I77" s="33" t="inlineStr">
        <is>
          <t>SALE-0424</t>
        </is>
      </c>
    </row>
    <row r="78" ht="30" customHeight="1">
      <c r="A78" s="23" t="inlineStr">
        <is>
          <t>Timing</t>
        </is>
      </c>
      <c r="B78" s="24" t="inlineStr">
        <is>
          <t>n/a</t>
        </is>
      </c>
      <c r="C78" s="25" t="inlineStr">
        <is>
          <t>count</t>
        </is>
      </c>
      <c r="D78" s="25" t="inlineStr">
        <is>
          <t>DIMENSION</t>
        </is>
      </c>
      <c r="E78" s="26" t="inlineStr">
        <is>
          <t>count(calls.disposition='timing')</t>
        </is>
      </c>
      <c r="F78" s="26" t="inlineStr">
        <is>
          <t>calls.disposition='timing', manualDispositionMix</t>
        </is>
      </c>
      <c r="G78" s="26" t="inlineStr">
        <is>
          <t>Page date-range picker</t>
        </is>
      </c>
      <c r="H78" s="27" t="inlineStr">
        <is>
          <t>LIVE</t>
        </is>
      </c>
      <c r="I78" s="28" t="inlineStr">
        <is>
          <t>SALE-0425</t>
        </is>
      </c>
    </row>
    <row r="79" ht="30" customHeight="1">
      <c r="A79" s="29" t="inlineStr">
        <is>
          <t>Partner/Spouse</t>
        </is>
      </c>
      <c r="B79" s="30" t="inlineStr">
        <is>
          <t>n/a</t>
        </is>
      </c>
      <c r="C79" s="31" t="inlineStr">
        <is>
          <t>count</t>
        </is>
      </c>
      <c r="D79" s="31" t="inlineStr">
        <is>
          <t>DIMENSION</t>
        </is>
      </c>
      <c r="E79" s="32" t="inlineStr">
        <is>
          <t>count(calls.disposition='partner_spouse')</t>
        </is>
      </c>
      <c r="F79" s="32" t="inlineStr">
        <is>
          <t>calls.disposition='partner_spouse', manualDispositionMix</t>
        </is>
      </c>
      <c r="G79" s="32" t="inlineStr">
        <is>
          <t>Page date-range picker</t>
        </is>
      </c>
      <c r="H79" s="27" t="inlineStr">
        <is>
          <t>LIVE</t>
        </is>
      </c>
      <c r="I79" s="33" t="inlineStr">
        <is>
          <t>SALE-0426</t>
        </is>
      </c>
    </row>
    <row r="80" ht="30" customHeight="1">
      <c r="A80" s="23" t="inlineStr">
        <is>
          <t>Upsell</t>
        </is>
      </c>
      <c r="B80" s="24" t="inlineStr">
        <is>
          <t>n/a</t>
        </is>
      </c>
      <c r="C80" s="25" t="inlineStr">
        <is>
          <t>count</t>
        </is>
      </c>
      <c r="D80" s="25" t="inlineStr">
        <is>
          <t>DIMENSION</t>
        </is>
      </c>
      <c r="E80" s="26" t="inlineStr">
        <is>
          <t>count(calls.disposition='upsell')</t>
        </is>
      </c>
      <c r="F80" s="26" t="inlineStr">
        <is>
          <t>calls.disposition='upsell', manualDispositionMix</t>
        </is>
      </c>
      <c r="G80" s="26" t="inlineStr">
        <is>
          <t>Page date-range picker</t>
        </is>
      </c>
      <c r="H80" s="27" t="inlineStr">
        <is>
          <t>LIVE</t>
        </is>
      </c>
      <c r="I80" s="28" t="inlineStr">
        <is>
          <t>SALE-0427</t>
        </is>
      </c>
    </row>
    <row r="81" ht="30" customHeight="1">
      <c r="A81" s="29" t="inlineStr">
        <is>
          <t>Unqualified</t>
        </is>
      </c>
      <c r="B81" s="30" t="inlineStr">
        <is>
          <t>n/a</t>
        </is>
      </c>
      <c r="C81" s="31" t="inlineStr">
        <is>
          <t>count</t>
        </is>
      </c>
      <c r="D81" s="31" t="inlineStr">
        <is>
          <t>DIMENSION</t>
        </is>
      </c>
      <c r="E81" s="32" t="inlineStr">
        <is>
          <t>count(calls.disposition='unqualified') — distinct from status='disqualified' (SALE-0418), a different column entirely</t>
        </is>
      </c>
      <c r="F81" s="32" t="inlineStr">
        <is>
          <t>calls.disposition='unqualified', manualDispositionMix</t>
        </is>
      </c>
      <c r="G81" s="32" t="inlineStr">
        <is>
          <t>Page date-range picker</t>
        </is>
      </c>
      <c r="H81" s="27" t="inlineStr">
        <is>
          <t>LIVE</t>
        </is>
      </c>
      <c r="I81" s="33" t="inlineStr">
        <is>
          <t>SALE-0428</t>
        </is>
      </c>
    </row>
    <row r="82" ht="30" customHeight="1">
      <c r="A82" s="23" t="inlineStr">
        <is>
          <t>Competitor (closer-logged)</t>
        </is>
      </c>
      <c r="B82" s="24" t="inlineStr">
        <is>
          <t>n/a</t>
        </is>
      </c>
      <c r="C82" s="25" t="inlineStr">
        <is>
          <t>count</t>
        </is>
      </c>
      <c r="D82" s="25" t="inlineStr">
        <is>
          <t>DIMENSION</t>
        </is>
      </c>
      <c r="E82" s="26" t="inlineStr">
        <is>
          <t>count(calls.disposition='competitor')</t>
        </is>
      </c>
      <c r="F82" s="26" t="inlineStr">
        <is>
          <t>calls.disposition='competitor', manualDispositionMix</t>
        </is>
      </c>
      <c r="G82" s="26" t="inlineStr">
        <is>
          <t>Page date-range picker</t>
        </is>
      </c>
      <c r="H82" s="27" t="inlineStr">
        <is>
          <t>LIVE</t>
        </is>
      </c>
      <c r="I82" s="28" t="inlineStr">
        <is>
          <t>SALE-0429</t>
        </is>
      </c>
    </row>
    <row r="83" ht="6" customHeight="1"/>
    <row r="84" ht="20" customHeight="1">
      <c r="A84" s="22" t="inlineStr">
        <is>
          <t>REVENUE SOURCE MIX</t>
        </is>
      </c>
    </row>
    <row r="85" ht="30" customHeight="1">
      <c r="A85" s="29" t="inlineStr">
        <is>
          <t>Shows</t>
        </is>
      </c>
      <c r="B85" s="37" t="n"/>
      <c r="C85" s="31" t="inlineStr">
        <is>
          <t>count</t>
        </is>
      </c>
      <c r="D85" s="31" t="inlineStr">
        <is>
          <t>AGGREGATED</t>
        </is>
      </c>
      <c r="E85" s="32" t="inlineStr">
        <is>
          <t>count(showed=true) per source_platform</t>
        </is>
      </c>
      <c r="F85" s="32" t="inlineStr">
        <is>
          <t>channelSources grouped by calls.source_platform via normalizeSocialPlatform (closer.tsx:1368-1399), rows.filter(c.showed).length (1381)</t>
        </is>
      </c>
      <c r="G85" s="32" t="inlineStr">
        <is>
          <t>Page date-range picker</t>
        </is>
      </c>
      <c r="H85" s="27" t="inlineStr">
        <is>
          <t>LIVE</t>
        </is>
      </c>
      <c r="I85" s="33" t="inlineStr">
        <is>
          <t>SALE-0430</t>
        </is>
      </c>
    </row>
    <row r="86" ht="30" customHeight="1">
      <c r="A86" s="23" t="inlineStr">
        <is>
          <t>Qualified Opps</t>
        </is>
      </c>
      <c r="B86" s="37" t="n"/>
      <c r="C86" s="25" t="inlineStr">
        <is>
          <t>count</t>
        </is>
      </c>
      <c r="D86" s="25" t="inlineStr">
        <is>
          <t>AGGREGATED</t>
        </is>
      </c>
      <c r="E86" s="26" t="inlineStr">
        <is>
          <t>count(showed=true AND status!='disqualified') — an ad hoc, per-page 'qualified' definition</t>
        </is>
      </c>
      <c r="F86" s="26" t="inlineStr">
        <is>
          <t>rows.filter(c.showed &amp;&amp; c.status!=='disqualified').length (1382)</t>
        </is>
      </c>
      <c r="G86" s="26" t="inlineStr">
        <is>
          <t>Page date-range picker</t>
        </is>
      </c>
      <c r="H86" s="27" t="inlineStr">
        <is>
          <t>LIVE</t>
        </is>
      </c>
      <c r="I86" s="28" t="inlineStr">
        <is>
          <t>SALE-0431</t>
        </is>
      </c>
    </row>
    <row r="87" ht="30" customHeight="1">
      <c r="A87" s="29" t="inlineStr">
        <is>
          <t>Offers</t>
        </is>
      </c>
      <c r="B87" s="37" t="n"/>
      <c r="C87" s="31" t="inlineStr">
        <is>
          <t>count</t>
        </is>
      </c>
      <c r="D87" s="31" t="inlineStr">
        <is>
          <t>AGGREGATED</t>
        </is>
      </c>
      <c r="E87" s="32" t="inlineStr">
        <is>
          <t>count(offer_made=true) per source</t>
        </is>
      </c>
      <c r="F87" s="32" t="inlineStr">
        <is>
          <t>rows.filter(c.offer_made).length (1383)</t>
        </is>
      </c>
      <c r="G87" s="32" t="inlineStr">
        <is>
          <t>Page date-range picker</t>
        </is>
      </c>
      <c r="H87" s="27" t="inlineStr">
        <is>
          <t>LIVE</t>
        </is>
      </c>
      <c r="I87" s="33" t="inlineStr">
        <is>
          <t>SALE-0432</t>
        </is>
      </c>
    </row>
    <row r="88" ht="30" customHeight="1">
      <c r="A88" s="23" t="inlineStr">
        <is>
          <t>Closes</t>
        </is>
      </c>
      <c r="B88" s="37" t="n"/>
      <c r="C88" s="25" t="inlineStr">
        <is>
          <t>count</t>
        </is>
      </c>
      <c r="D88" s="25" t="inlineStr">
        <is>
          <t>AGGREGATED</t>
        </is>
      </c>
      <c r="E88" s="26" t="inlineStr">
        <is>
          <t>count(closed=true OR status='closed') per source</t>
        </is>
      </c>
      <c r="F88" s="26" t="inlineStr">
        <is>
          <t>rows.filter(c.closed||c.status==='closed').length (1384)</t>
        </is>
      </c>
      <c r="G88" s="26" t="inlineStr">
        <is>
          <t>Page date-range picker</t>
        </is>
      </c>
      <c r="H88" s="27" t="inlineStr">
        <is>
          <t>LIVE</t>
        </is>
      </c>
      <c r="I88" s="28" t="inlineStr">
        <is>
          <t>SALE-0433</t>
        </is>
      </c>
    </row>
    <row r="89" ht="30" customHeight="1">
      <c r="A89" s="29" t="inlineStr">
        <is>
          <t>Close Rate</t>
        </is>
      </c>
      <c r="B89" s="35">
        <f>IF(N(B22)=0,"",B88/B22)</f>
        <v/>
      </c>
      <c r="C89" s="31" t="inlineStr">
        <is>
          <t>%</t>
        </is>
      </c>
      <c r="D89" s="31" t="inlineStr">
        <is>
          <t>DERIVED</t>
        </is>
      </c>
      <c r="E89" s="32" t="inlineStr">
        <is>
          <t>closesForSource ÷ shows × 100; null if shows=0</t>
        </is>
      </c>
      <c r="F89" s="32" t="inlineStr">
        <is>
          <t>closesForSource/shows*100 (1393)</t>
        </is>
      </c>
      <c r="G89" s="32" t="inlineStr">
        <is>
          <t>Page date-range picker</t>
        </is>
      </c>
      <c r="H89" s="27" t="inlineStr">
        <is>
          <t>LIVE</t>
        </is>
      </c>
      <c r="I89" s="33" t="inlineStr">
        <is>
          <t>SALE-0434</t>
        </is>
      </c>
    </row>
    <row r="90" ht="30" customHeight="1">
      <c r="A90" s="23" t="inlineStr">
        <is>
          <t>Contracted Revenue</t>
        </is>
      </c>
      <c r="B90" s="34" t="n"/>
      <c r="C90" s="25" t="inlineStr">
        <is>
          <t>$</t>
        </is>
      </c>
      <c r="D90" s="25" t="inlineStr">
        <is>
          <t>AGGREGATED</t>
        </is>
      </c>
      <c r="E90" s="26" t="inlineStr">
        <is>
          <t>Σ calls.contract_value_cents</t>
        </is>
      </c>
      <c r="F90" s="26" t="inlineStr">
        <is>
          <t>Σ contract_value_cents per source (1385)</t>
        </is>
      </c>
      <c r="G90" s="26" t="inlineStr">
        <is>
          <t>Page date-range picker</t>
        </is>
      </c>
      <c r="H90" s="27" t="inlineStr">
        <is>
          <t>LIVE</t>
        </is>
      </c>
      <c r="I90" s="28" t="inlineStr">
        <is>
          <t>SALE-0435</t>
        </is>
      </c>
    </row>
    <row r="91" ht="30" customHeight="1">
      <c r="A91" s="29" t="inlineStr">
        <is>
          <t>Cash Collected</t>
        </is>
      </c>
      <c r="B91" s="34" t="n"/>
      <c r="C91" s="31" t="inlineStr">
        <is>
          <t>$</t>
        </is>
      </c>
      <c r="D91" s="31" t="inlineStr">
        <is>
          <t>AGGREGATED</t>
        </is>
      </c>
      <c r="E91" s="32" t="inlineStr">
        <is>
          <t>Σ calls.cash_collected_cents</t>
        </is>
      </c>
      <c r="F91" s="32" t="inlineStr">
        <is>
          <t>Σ cash_collected_cents per source (1386)</t>
        </is>
      </c>
      <c r="G91" s="32" t="inlineStr">
        <is>
          <t>Page date-range picker</t>
        </is>
      </c>
      <c r="H91" s="27" t="inlineStr">
        <is>
          <t>LIVE</t>
        </is>
      </c>
      <c r="I91" s="33" t="inlineStr">
        <is>
          <t>SALE-0436</t>
        </is>
      </c>
    </row>
    <row r="92" ht="30" customHeight="1">
      <c r="A92" s="23" t="inlineStr">
        <is>
          <t>Collection Rate</t>
        </is>
      </c>
      <c r="B92" s="35">
        <f>IF(N(B16)=0,"",B91/B16)</f>
        <v/>
      </c>
      <c r="C92" s="25" t="inlineStr">
        <is>
          <t>%</t>
        </is>
      </c>
      <c r="D92" s="25" t="inlineStr">
        <is>
          <t>DERIVED</t>
        </is>
      </c>
      <c r="E92" s="26" t="inlineStr">
        <is>
          <t>cashForSource ÷ contractedCents × 100; null if 0</t>
        </is>
      </c>
      <c r="F92" s="26" t="inlineStr">
        <is>
          <t>cashForSource/contractedCents*100 (1396)</t>
        </is>
      </c>
      <c r="G92" s="26" t="inlineStr">
        <is>
          <t>Page date-range picker</t>
        </is>
      </c>
      <c r="H92" s="27" t="inlineStr">
        <is>
          <t>LIVE</t>
        </is>
      </c>
      <c r="I92" s="28" t="inlineStr">
        <is>
          <t>SALE-0437</t>
        </is>
      </c>
    </row>
    <row r="93" ht="30" customHeight="1">
      <c r="A93" s="29" t="inlineStr">
        <is>
          <t>Refund/Default Rate</t>
        </is>
      </c>
      <c r="B93" s="30" t="inlineStr">
        <is>
          <t>n/a</t>
        </is>
      </c>
      <c r="C93" s="31" t="inlineStr">
        <is>
          <t>N/A</t>
        </is>
      </c>
      <c r="D93" s="31" t="inlineStr">
        <is>
          <t>OTHER</t>
        </is>
      </c>
      <c r="E93" s="32" t="inlineStr">
        <is>
          <t>No computation — explicit placeholder</t>
        </is>
      </c>
      <c r="F93" s="32" t="inlineStr">
        <is>
          <t>closer.tsx:4026, hardcoded string "Not tracked"; code comment 1370-1374 explains why</t>
        </is>
      </c>
      <c r="G93" s="32" t="inlineStr">
        <is>
          <t>N/A</t>
        </is>
      </c>
      <c r="H93" s="36" t="inlineStr">
        <is>
          <t>NOT AVAILABLE</t>
        </is>
      </c>
      <c r="I93" s="33" t="inlineStr">
        <is>
          <t>SALE-0438</t>
        </is>
      </c>
    </row>
    <row r="94" ht="6" customHeight="1"/>
  </sheetData>
  <autoFilter ref="A4:I93"/>
  <mergeCells count="9">
    <mergeCell ref="A25:I25"/>
    <mergeCell ref="A65:I65"/>
    <mergeCell ref="A5:I5"/>
    <mergeCell ref="A60:I60"/>
    <mergeCell ref="A84:I84"/>
    <mergeCell ref="A14:I14"/>
    <mergeCell ref="A31:I31"/>
    <mergeCell ref="A48:I48"/>
    <mergeCell ref="A54:I5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ContentOS &gt; Content</t>
        </is>
      </c>
    </row>
    <row r="2">
      <c r="A2" s="21" t="inlineStr">
        <is>
          <t>92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TOP KPI ROW</t>
        </is>
      </c>
    </row>
    <row r="6" ht="30" customHeight="1">
      <c r="A6" s="23" t="inlineStr">
        <is>
          <t>Total views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sum(content_metrics.views) over visiblePieces (taxonomy-filtered content_pieces list)</t>
        </is>
      </c>
      <c r="F6" s="26" t="inlineStr">
        <is>
          <t>content_metrics.views summed client-side in ContentCommandCenter's `stats` useMemo (src/components/content-command-center.tsx:387)</t>
        </is>
      </c>
      <c r="G6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6" s="27" t="inlineStr">
        <is>
          <t>LIVE</t>
        </is>
      </c>
      <c r="I6" s="28" t="inlineStr">
        <is>
          <t>CONT-0439</t>
        </is>
      </c>
    </row>
    <row r="7" ht="30" customHeight="1">
      <c r="A7" s="29" t="inlineStr">
        <is>
          <t>Total reach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sum(content_metrics.reach) over visiblePieces</t>
        </is>
      </c>
      <c r="F7" s="32" t="inlineStr">
        <is>
          <t>content_metrics.reach summed (content-command-center.tsx:388)</t>
        </is>
      </c>
      <c r="G7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7" s="27" t="inlineStr">
        <is>
          <t>LIVE</t>
        </is>
      </c>
      <c r="I7" s="33" t="inlineStr">
        <is>
          <t>CONT-0440</t>
        </is>
      </c>
    </row>
    <row r="8" ht="30" customHeight="1">
      <c r="A8" s="23" t="inlineStr">
        <is>
          <t>Engagement rate</t>
        </is>
      </c>
      <c r="B8" s="39" t="n"/>
      <c r="C8" s="25" t="inlineStr">
        <is>
          <t>%</t>
        </is>
      </c>
      <c r="D8" s="25" t="inlineStr">
        <is>
          <t>DERIVED</t>
        </is>
      </c>
      <c r="E8" s="26" t="inlineStr">
        <is>
          <t>(sum(likes+comments+saves+shares) / sum(views)) * 100, where interactionsOf() = likes+comments+saves+shares (content-command-center.tsx:253-255)</t>
        </is>
      </c>
      <c r="F8" s="26" t="inlineStr">
        <is>
          <t>content-command-center.tsx:645-649</t>
        </is>
      </c>
      <c r="G8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8" s="27" t="inlineStr">
        <is>
          <t>LIVE</t>
        </is>
      </c>
      <c r="I8" s="28" t="inlineStr">
        <is>
          <t>CONT-0441</t>
        </is>
      </c>
    </row>
    <row r="9" ht="30" customHeight="1">
      <c r="A9" s="29" t="inlineStr">
        <is>
          <t>Avg views / post</t>
        </is>
      </c>
      <c r="B9" s="37" t="n"/>
      <c r="C9" s="31" t="inlineStr">
        <is>
          <t>count (avg views per post)</t>
        </is>
      </c>
      <c r="D9" s="31" t="inlineStr">
        <is>
          <t>DERIVED</t>
        </is>
      </c>
      <c r="E9" s="32" t="inlineStr">
        <is>
          <t>sum(content_metrics.views) / visiblePieces.length</t>
        </is>
      </c>
      <c r="F9" s="32" t="inlineStr">
        <is>
          <t>content-command-center.tsx:658-659</t>
        </is>
      </c>
      <c r="G9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9" s="27" t="inlineStr">
        <is>
          <t>LIVE</t>
        </is>
      </c>
      <c r="I9" s="33" t="inlineStr">
        <is>
          <t>CONT-0442</t>
        </is>
      </c>
    </row>
    <row r="10" ht="30" customHeight="1">
      <c r="A10" s="23" t="inlineStr">
        <is>
          <t>Followers gained</t>
        </is>
      </c>
      <c r="B10" s="37" t="n"/>
      <c r="C10" s="25" t="inlineStr">
        <is>
          <t>count</t>
        </is>
      </c>
      <c r="D10" s="25" t="inlineStr">
        <is>
          <t>AGGREGATED</t>
        </is>
      </c>
      <c r="E10" s="26" t="inlineStr">
        <is>
          <t>sum(content_metrics.followers_gained) over visiblePieces</t>
        </is>
      </c>
      <c r="F10" s="26" t="inlineStr">
        <is>
          <t>content_metrics.followers_gained summed (content-command-center.tsx:390)</t>
        </is>
      </c>
      <c r="G10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10" s="27" t="inlineStr">
        <is>
          <t>LIVE</t>
        </is>
      </c>
      <c r="I10" s="28" t="inlineStr">
        <is>
          <t>CONT-0443</t>
        </is>
      </c>
    </row>
    <row r="11" ht="30" customHeight="1">
      <c r="A11" s="29" t="inlineStr">
        <is>
          <t>Cash attributed</t>
        </is>
      </c>
      <c r="B11" s="30" t="inlineStr">
        <is>
          <t>n/a</t>
        </is>
      </c>
      <c r="C11" s="31" t="inlineStr">
        <is>
          <t>$</t>
        </is>
      </c>
      <c r="D11" s="31" t="inlineStr">
        <is>
          <t>OTHER</t>
        </is>
      </c>
      <c r="E11" s="32" t="inlineStr">
        <is>
          <t>None — content_metrics.cash_collected_cents and content_metrics.closes are never written by any code path in the app (confirmed: the Log content dialog's save mutation, content.tsx:667-690, builds a `metrics` object with 21 fields and neither `closes` nor `cash_collected_cents` is among them)</t>
        </is>
      </c>
      <c r="F11" s="32" t="inlineStr">
        <is>
          <t>Hardcoded literal string "Not tracked" (content-command-center.tsx:681-688)</t>
        </is>
      </c>
      <c r="G11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11" s="36" t="inlineStr">
        <is>
          <t>PLACEHOLDER</t>
        </is>
      </c>
      <c r="I11" s="33" t="inlineStr">
        <is>
          <t>CONT-0444</t>
        </is>
      </c>
    </row>
    <row r="12" ht="6" customHeight="1"/>
    <row r="13" ht="20" customHeight="1">
      <c r="A13" s="22" t="inlineStr">
        <is>
          <t>CANONICAL CONTENT -&gt; CASH</t>
        </is>
      </c>
    </row>
    <row r="14" ht="30" customHeight="1">
      <c r="A14" s="23" t="inlineStr">
        <is>
          <t>verified paths</t>
        </is>
      </c>
      <c r="B14" s="37" t="n"/>
      <c r="C14" s="25" t="inlineStr">
        <is>
          <t>count</t>
        </is>
      </c>
      <c r="D14" s="25" t="inlineStr">
        <is>
          <t>AGGREGATED</t>
        </is>
      </c>
      <c r="E14" s="26" t="inlineStr">
        <is>
          <t>count of CanonicalLifecycleAttributionPath rows produced for the selected attribution model (first_touch/last_touch/lead_source/booking_source/assisted_touch), after dedup (content-attribution.ts:187-196)</t>
        </is>
      </c>
      <c r="F14" s="26" t="inlineStr">
        <is>
          <t>filteredCanonicalPaths.length (content-command-center.tsx:719), built by buildAttributionPathsForModel() in src/lib/content-attribution.ts:52-197 over leads/calls/lead_content_touches fetched in content.tsx:465-503</t>
        </is>
      </c>
      <c r="G14" s="26" t="inlineStr">
        <is>
          <t>Selected date range (range.from-range.to) applied to leads/calls/lead_content_touches/clients/traffic_sources queries — content.tsx:463-503</t>
        </is>
      </c>
      <c r="H14" s="27" t="inlineStr">
        <is>
          <t>LIVE</t>
        </is>
      </c>
      <c r="I14" s="28" t="inlineStr">
        <is>
          <t>CONT-0445</t>
        </is>
      </c>
    </row>
    <row r="15" ht="30" customHeight="1">
      <c r="A15" s="29" t="inlineStr">
        <is>
          <t>Content</t>
        </is>
      </c>
      <c r="B15" s="30" t="inlineStr">
        <is>
          <t>n/a</t>
        </is>
      </c>
      <c r="C15" s="31" t="inlineStr">
        <is>
          <t>content_pieces.id (uuid)</t>
        </is>
      </c>
      <c r="D15" s="31" t="inlineStr">
        <is>
          <t>DIMENSION</t>
        </is>
      </c>
      <c r="E15" s="32" t="inlineStr">
        <is>
          <t>N/A (identifier, not computed)</t>
        </is>
      </c>
      <c r="F15" s="32" t="inlineStr">
        <is>
          <t>path.contentId (content-command-center.tsx:807), sourced from leads.source_content_id / calls.source_content_id / lead_content_touches.content_id depending on the selected model (content-attribution.ts:66,94,122)</t>
        </is>
      </c>
      <c r="G15" s="32" t="inlineStr">
        <is>
          <t>Selected date range (range.from-range.to) applied to leads/calls/lead_content_touches/clients/traffic_sources queries — content.tsx:463-503</t>
        </is>
      </c>
      <c r="H15" s="27" t="inlineStr">
        <is>
          <t>LIVE</t>
        </is>
      </c>
      <c r="I15" s="33" t="inlineStr">
        <is>
          <t>CONT-0446</t>
        </is>
      </c>
    </row>
    <row r="16" ht="30" customHeight="1">
      <c r="A16" s="23" t="inlineStr">
        <is>
          <t>Platform</t>
        </is>
      </c>
      <c r="B16" s="24" t="inlineStr">
        <is>
          <t>n/a</t>
        </is>
      </c>
      <c r="C16" s="25" t="inlineStr">
        <is>
          <t>text (platform name)</t>
        </is>
      </c>
      <c r="D16" s="25" t="inlineStr">
        <is>
          <t>DIMENSION</t>
        </is>
      </c>
      <c r="E16" s="26" t="inlineStr">
        <is>
          <t>N/A</t>
        </is>
      </c>
      <c r="F16" s="26" t="inlineStr">
        <is>
          <t>platformByContentId.get(path.contentId) (content-command-center.tsx:291-294, 748-751), which resolves via pieceSocialPlatform() -&gt; normalizeSocialPlatform(content_pieces.platform, content_pieces.source_platform) (content-command-center.tsx:115-117)</t>
        </is>
      </c>
      <c r="G16" s="26" t="inlineStr">
        <is>
          <t>Selected date range (range.from-range.to) applied to leads/calls/lead_content_touches/clients/traffic_sources queries — content.tsx:463-503</t>
        </is>
      </c>
      <c r="H16" s="27" t="inlineStr">
        <is>
          <t>LIVE</t>
        </is>
      </c>
      <c r="I16" s="28" t="inlineStr">
        <is>
          <t>CONT-0447</t>
        </is>
      </c>
    </row>
    <row r="17" ht="30" customHeight="1">
      <c r="A17" s="29" t="inlineStr">
        <is>
          <t>Lead</t>
        </is>
      </c>
      <c r="B17" s="30" t="inlineStr">
        <is>
          <t>n/a</t>
        </is>
      </c>
      <c r="C17" s="31" t="inlineStr">
        <is>
          <t>leads.id (uuid)</t>
        </is>
      </c>
      <c r="D17" s="31" t="inlineStr">
        <is>
          <t>DIMENSION</t>
        </is>
      </c>
      <c r="E17" s="32" t="inlineStr">
        <is>
          <t>N/A</t>
        </is>
      </c>
      <c r="F17" s="32" t="inlineStr">
        <is>
          <t>path.personKey (content-command-center.tsx:809), set to call.lead_id in every model branch (content-attribution.ts:69,97,125,155)</t>
        </is>
      </c>
      <c r="G17" s="32" t="inlineStr">
        <is>
          <t>Selected date range (range.from-range.to) applied to leads/calls/lead_content_touches/clients/traffic_sources queries — content.tsx:463-503</t>
        </is>
      </c>
      <c r="H17" s="27" t="inlineStr">
        <is>
          <t>LIVE</t>
        </is>
      </c>
      <c r="I17" s="33" t="inlineStr">
        <is>
          <t>CONT-0448</t>
        </is>
      </c>
    </row>
    <row r="18" ht="30" customHeight="1">
      <c r="A18" s="23" t="inlineStr">
        <is>
          <t>Booking</t>
        </is>
      </c>
      <c r="B18" s="24" t="inlineStr">
        <is>
          <t>n/a</t>
        </is>
      </c>
      <c r="C18" s="25" t="inlineStr">
        <is>
          <t>text/uuid</t>
        </is>
      </c>
      <c r="D18" s="25" t="inlineStr">
        <is>
          <t>OTHER</t>
        </is>
      </c>
      <c r="E18" s="26" t="inlineStr">
        <is>
          <t>None</t>
        </is>
      </c>
      <c r="F18" s="26" t="inlineStr">
        <is>
          <t>path.bookingId (content-command-center.tsx:810) — a real field on CanonicalLifecycleAttributionPath (src/lib/acquisition.ts:72,108,128), but buildAttributionPathsForModel() never passes a bookingId to any of its 5 model branches (content-attribution.ts:52-197 has no `bookingId:` in any buildCanon...</t>
        </is>
      </c>
      <c r="G18" s="26" t="inlineStr">
        <is>
          <t>Selected date range (range.from-range.to) applied to leads/calls/lead_content_touches/clients/traffic_sources queries — content.tsx:463-503</t>
        </is>
      </c>
      <c r="H18" s="36" t="inlineStr">
        <is>
          <t>NOT AVAILABLE</t>
        </is>
      </c>
      <c r="I18" s="28" t="inlineStr">
        <is>
          <t>CONT-0449</t>
        </is>
      </c>
    </row>
    <row r="19" ht="30" customHeight="1">
      <c r="A19" s="29" t="inlineStr">
        <is>
          <t>Call</t>
        </is>
      </c>
      <c r="B19" s="30" t="inlineStr">
        <is>
          <t>n/a</t>
        </is>
      </c>
      <c r="C19" s="31" t="inlineStr">
        <is>
          <t>calls.id (uuid)</t>
        </is>
      </c>
      <c r="D19" s="31" t="inlineStr">
        <is>
          <t>DIMENSION</t>
        </is>
      </c>
      <c r="E19" s="32" t="inlineStr">
        <is>
          <t>N/A</t>
        </is>
      </c>
      <c r="F19" s="32" t="inlineStr">
        <is>
          <t>path.callId (content-command-center.tsx:811), set to call.id in every model branch (content-attribution.ts:70,98,126,159)</t>
        </is>
      </c>
      <c r="G19" s="32" t="inlineStr">
        <is>
          <t>Selected date range (range.from-range.to) applied to leads/calls/lead_content_touches/clients/traffic_sources queries — content.tsx:463-503</t>
        </is>
      </c>
      <c r="H19" s="27" t="inlineStr">
        <is>
          <t>LIVE</t>
        </is>
      </c>
      <c r="I19" s="33" t="inlineStr">
        <is>
          <t>CONT-0450</t>
        </is>
      </c>
    </row>
    <row r="20" ht="30" customHeight="1">
      <c r="A20" s="23" t="inlineStr">
        <is>
          <t>Payment</t>
        </is>
      </c>
      <c r="B20" s="24" t="inlineStr">
        <is>
          <t>n/a</t>
        </is>
      </c>
      <c r="C20" s="25" t="inlineStr">
        <is>
          <t>text/uuid</t>
        </is>
      </c>
      <c r="D20" s="25" t="inlineStr">
        <is>
          <t>OTHER</t>
        </is>
      </c>
      <c r="E20" s="26" t="inlineStr">
        <is>
          <t>None</t>
        </is>
      </c>
      <c r="F20" s="26" t="inlineStr">
        <is>
          <t>path.paymentId (content-command-center.tsx:812) — declared on CanonicalLifecycleAttributionPath (acquisition.ts:75,111,131) but never populated by any of the 5 model branches in content-attribution.ts (same gap as Booking, CONT-0449)</t>
        </is>
      </c>
      <c r="G20" s="26" t="inlineStr">
        <is>
          <t>Selected date range (range.from-range.to) applied to leads/calls/lead_content_touches/clients/traffic_sources queries — content.tsx:463-503</t>
        </is>
      </c>
      <c r="H20" s="36" t="inlineStr">
        <is>
          <t>NOT AVAILABLE</t>
        </is>
      </c>
      <c r="I20" s="28" t="inlineStr">
        <is>
          <t>CONT-0451</t>
        </is>
      </c>
    </row>
    <row r="21" ht="30" customHeight="1">
      <c r="A21" s="29" t="inlineStr">
        <is>
          <t>Evidence</t>
        </is>
      </c>
      <c r="B21" s="37" t="n"/>
      <c r="C21" s="31" t="inlineStr">
        <is>
          <t>text label + count</t>
        </is>
      </c>
      <c r="D21" s="31" t="inlineStr">
        <is>
          <t>DERIVED</t>
        </is>
      </c>
      <c r="E21" s="32" t="inlineStr">
        <is>
          <t>coverage = "direct" when directOutcomeLinked:true, else "inferred" (assisted_touch only, content-attribution.ts:172-173); knownTouchpoints = a fixed count per model (3 for lead_source, 2 for booking_source, leadTouches.length+1 for first/last touch)</t>
        </is>
      </c>
      <c r="F21" s="32" t="inlineStr">
        <is>
          <t>path.evidence.coverage + path.evidence.knownTouchpoints (content-command-center.tsx:814-818), built inside buildCanonicalLifecycleAttributionPath() from the evidence object each model branch supplies (content-attribution.ts:80-88,107-114,136-143,167-175)</t>
        </is>
      </c>
      <c r="G21" s="32" t="inlineStr">
        <is>
          <t>Selected date range (range.from-range.to) applied to leads/calls/lead_content_touches/clients/traffic_sources queries — content.tsx:463-503</t>
        </is>
      </c>
      <c r="H21" s="27" t="inlineStr">
        <is>
          <t>LIVE</t>
        </is>
      </c>
      <c r="I21" s="33" t="inlineStr">
        <is>
          <t>CONT-0452</t>
        </is>
      </c>
    </row>
    <row r="22" ht="6" customHeight="1"/>
    <row r="23" ht="20" customHeight="1">
      <c r="A23" s="22" t="inlineStr">
        <is>
          <t>CONTENT PERFORMANCE CHART</t>
        </is>
      </c>
    </row>
    <row r="24" ht="30" customHeight="1">
      <c r="A24" s="23" t="inlineStr">
        <is>
          <t>Views</t>
        </is>
      </c>
      <c r="B24" s="37" t="n"/>
      <c r="C24" s="25" t="inlineStr">
        <is>
          <t>count/day</t>
        </is>
      </c>
      <c r="D24" s="25" t="inlineStr">
        <is>
          <t>AGGREGATED</t>
        </is>
      </c>
      <c r="E24" s="26" t="inlineStr">
        <is>
          <t>sum(views) grouped by captured_at date (falls back to posted_at when captured_at is null), last 30 buckets</t>
        </is>
      </c>
      <c r="F24" s="26" t="inlineStr">
        <is>
          <t>stats.trend[].views, built by day-bucketing content_metrics.views (content-command-center.tsx:422-452)</t>
        </is>
      </c>
      <c r="G24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24" s="27" t="inlineStr">
        <is>
          <t>LIVE</t>
        </is>
      </c>
      <c r="I24" s="28" t="inlineStr">
        <is>
          <t>CONT-0453</t>
        </is>
      </c>
    </row>
    <row r="25" ht="30" customHeight="1">
      <c r="A25" s="29" t="inlineStr">
        <is>
          <t>Reach</t>
        </is>
      </c>
      <c r="B25" s="37" t="n"/>
      <c r="C25" s="31" t="inlineStr">
        <is>
          <t>count/day</t>
        </is>
      </c>
      <c r="D25" s="31" t="inlineStr">
        <is>
          <t>AGGREGATED</t>
        </is>
      </c>
      <c r="E25" s="32" t="inlineStr">
        <is>
          <t>sum(reach) grouped by day</t>
        </is>
      </c>
      <c r="F25" s="32" t="inlineStr">
        <is>
          <t>stats.trend[].reach (content-command-center.tsx:440)</t>
        </is>
      </c>
      <c r="G25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25" s="27" t="inlineStr">
        <is>
          <t>LIVE</t>
        </is>
      </c>
      <c r="I25" s="33" t="inlineStr">
        <is>
          <t>CONT-0454</t>
        </is>
      </c>
    </row>
    <row r="26" ht="30" customHeight="1">
      <c r="A26" s="23" t="inlineStr">
        <is>
          <t>Interactions</t>
        </is>
      </c>
      <c r="B26" s="37" t="n"/>
      <c r="C26" s="25" t="inlineStr">
        <is>
          <t>count/day</t>
        </is>
      </c>
      <c r="D26" s="25" t="inlineStr">
        <is>
          <t>DERIVED</t>
        </is>
      </c>
      <c r="E26" s="26" t="inlineStr">
        <is>
          <t>sum(likes+comments+saves+shares) grouped by day</t>
        </is>
      </c>
      <c r="F26" s="26" t="inlineStr">
        <is>
          <t>stats.trend[].interactions (content-command-center.tsx:441), interactionsOf() = likes+comments+saves+shares per metric row (content-command-center.tsx:253-255)</t>
        </is>
      </c>
      <c r="G26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26" s="27" t="inlineStr">
        <is>
          <t>LIVE</t>
        </is>
      </c>
      <c r="I26" s="28" t="inlineStr">
        <is>
          <t>CONT-0455</t>
        </is>
      </c>
    </row>
    <row r="27" ht="6" customHeight="1"/>
    <row r="28" ht="20" customHeight="1">
      <c r="A28" s="22" t="inlineStr">
        <is>
          <t>FORMAT MIX CHART</t>
        </is>
      </c>
    </row>
    <row r="29" ht="30" customHeight="1">
      <c r="A29" s="29" t="inlineStr">
        <is>
          <t>Views by content type</t>
        </is>
      </c>
      <c r="B29" s="37" t="n"/>
      <c r="C29" s="31" t="inlineStr">
        <is>
          <t>count</t>
        </is>
      </c>
      <c r="D29" s="31" t="inlineStr">
        <is>
          <t>AGGREGATED</t>
        </is>
      </c>
      <c r="E29" s="32" t="inlineStr">
        <is>
          <t>sum(content_metrics.views) grouped by format label (the `platform` enum column, which is actually a FORMAT not a brand platform — see doc comment content-command-center.tsx:325-329)</t>
        </is>
      </c>
      <c r="F29" s="32" t="inlineStr">
        <is>
          <t>stats.types (content-command-center.tsx:457-464), grouped by formatLabel(content_pieces.platform) — see src/lib/platform-format.ts for the format-label mapping</t>
        </is>
      </c>
      <c r="G29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29" s="27" t="inlineStr">
        <is>
          <t>LIVE</t>
        </is>
      </c>
      <c r="I29" s="33" t="inlineStr">
        <is>
          <t>CONT-0456</t>
        </is>
      </c>
    </row>
    <row r="30" ht="6" customHeight="1"/>
    <row r="31" ht="20" customHeight="1">
      <c r="A31" s="22" t="inlineStr">
        <is>
          <t>POST-LEVEL PERFORMANCE</t>
        </is>
      </c>
    </row>
    <row r="32" ht="30" customHeight="1">
      <c r="A32" s="23" t="inlineStr">
        <is>
          <t>Views</t>
        </is>
      </c>
      <c r="B32" s="37" t="n"/>
      <c r="C32" s="25" t="inlineStr">
        <is>
          <t>count</t>
        </is>
      </c>
      <c r="D32" s="25" t="inlineStr">
        <is>
          <t>RAW</t>
        </is>
      </c>
      <c r="E32" s="26" t="inlineStr">
        <is>
          <t>N/A</t>
        </is>
      </c>
      <c r="F32" s="26" t="inlineStr">
        <is>
          <t>content_metrics.views via metricOf(piece) (content-command-center.tsx:1117,1174), metricOf() takes the metrics row with the latest captured_at (content-command-center.tsx:245-251)</t>
        </is>
      </c>
      <c r="G32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32" s="27" t="inlineStr">
        <is>
          <t>LIVE</t>
        </is>
      </c>
      <c r="I32" s="28" t="inlineStr">
        <is>
          <t>CONT-0457</t>
        </is>
      </c>
    </row>
    <row r="33" ht="30" customHeight="1">
      <c r="A33" s="29" t="inlineStr">
        <is>
          <t>Reach</t>
        </is>
      </c>
      <c r="B33" s="37" t="n"/>
      <c r="C33" s="31" t="inlineStr">
        <is>
          <t>count</t>
        </is>
      </c>
      <c r="D33" s="31" t="inlineStr">
        <is>
          <t>RAW</t>
        </is>
      </c>
      <c r="E33" s="32" t="inlineStr">
        <is>
          <t>N/A</t>
        </is>
      </c>
      <c r="F33" s="32" t="inlineStr">
        <is>
          <t>content_metrics.reach (content-command-center.tsx:1176-1178)</t>
        </is>
      </c>
      <c r="G33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33" s="27" t="inlineStr">
        <is>
          <t>LIVE</t>
        </is>
      </c>
      <c r="I33" s="33" t="inlineStr">
        <is>
          <t>CONT-0458</t>
        </is>
      </c>
    </row>
    <row r="34" ht="30" customHeight="1">
      <c r="A34" s="23" t="inlineStr">
        <is>
          <t>Engagement</t>
        </is>
      </c>
      <c r="B34" s="39" t="n"/>
      <c r="C34" s="25" t="inlineStr">
        <is>
          <t>%</t>
        </is>
      </c>
      <c r="D34" s="25" t="inlineStr">
        <is>
          <t>DERIVED</t>
        </is>
      </c>
      <c r="E34" s="26" t="inlineStr">
        <is>
          <t>interactionsOf(metric) / metric.views * 100</t>
        </is>
      </c>
      <c r="F34" s="26" t="inlineStr">
        <is>
          <t>content-command-center.tsx:1118-1120</t>
        </is>
      </c>
      <c r="G34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34" s="27" t="inlineStr">
        <is>
          <t>LIVE</t>
        </is>
      </c>
      <c r="I34" s="28" t="inlineStr">
        <is>
          <t>CONT-0459</t>
        </is>
      </c>
    </row>
    <row r="35" ht="30" customHeight="1">
      <c r="A35" s="29" t="inlineStr">
        <is>
          <t>Watch/retention</t>
        </is>
      </c>
      <c r="B35" s="37" t="n"/>
      <c r="C35" s="31" t="inlineStr">
        <is>
          <t>seconds or %, whichever field is populated</t>
        </is>
      </c>
      <c r="D35" s="31" t="inlineStr">
        <is>
          <t>RAW</t>
        </is>
      </c>
      <c r="E35" s="32" t="inlineStr">
        <is>
          <t>N/A (display fallback chain, not a computed blend)</t>
        </is>
      </c>
      <c r="F35" s="32" t="inlineStr">
        <is>
          <t>content-command-center.tsx:1125-1132 — falls back through watch_time_seconds -&gt; avg_watch_pct -&gt; hook_retention_pct, whichever is non-null first</t>
        </is>
      </c>
      <c r="G35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35" s="27" t="inlineStr">
        <is>
          <t>LIVE</t>
        </is>
      </c>
      <c r="I35" s="33" t="inlineStr">
        <is>
          <t>CONT-0460</t>
        </is>
      </c>
    </row>
    <row r="36" ht="30" customHeight="1">
      <c r="A36" s="23" t="inlineStr">
        <is>
          <t>Replay</t>
        </is>
      </c>
      <c r="B36" s="37" t="n"/>
      <c r="C36" s="25" t="inlineStr">
        <is>
          <t>ratio (x)</t>
        </is>
      </c>
      <c r="D36" s="25" t="inlineStr">
        <is>
          <t>DERIVED</t>
        </is>
      </c>
      <c r="E36" s="26" t="inlineStr">
        <is>
          <t>views / reach (only when reach&gt;0 and views is not null)</t>
        </is>
      </c>
      <c r="F36" s="26" t="inlineStr">
        <is>
          <t>content-command-center.tsx:1121-1124</t>
        </is>
      </c>
      <c r="G36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36" s="27" t="inlineStr">
        <is>
          <t>LIVE</t>
        </is>
      </c>
      <c r="I36" s="28" t="inlineStr">
        <is>
          <t>CONT-0461</t>
        </is>
      </c>
    </row>
    <row r="37" ht="30" customHeight="1">
      <c r="A37" s="29" t="inlineStr">
        <is>
          <t>Cash</t>
        </is>
      </c>
      <c r="B37" s="30" t="inlineStr">
        <is>
          <t>n/a</t>
        </is>
      </c>
      <c r="C37" s="31" t="inlineStr">
        <is>
          <t>$</t>
        </is>
      </c>
      <c r="D37" s="31" t="inlineStr">
        <is>
          <t>OTHER</t>
        </is>
      </c>
      <c r="E37" s="32" t="inlineStr">
        <is>
          <t>None — content_metrics.cash_collected_cents has no write path (same gap as CONT-0444)</t>
        </is>
      </c>
      <c r="F37" s="32" t="inlineStr">
        <is>
          <t>Hardcoded literal "Not tracked" (content-command-center.tsx:1188-1192)</t>
        </is>
      </c>
      <c r="G37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37" s="36" t="inlineStr">
        <is>
          <t>PLACEHOLDER</t>
        </is>
      </c>
      <c r="I37" s="33" t="inlineStr">
        <is>
          <t>CONT-0462</t>
        </is>
      </c>
    </row>
    <row r="38" ht="6" customHeight="1"/>
    <row r="39" ht="20" customHeight="1">
      <c r="A39" s="22" t="inlineStr">
        <is>
          <t>CONTENT SIGNALS PANEL</t>
        </is>
      </c>
    </row>
    <row r="40" ht="30" customHeight="1">
      <c r="A40" s="23" t="inlineStr">
        <is>
          <t>Root cause (Signal/Evidence/Root cause/Implication/Action)</t>
        </is>
      </c>
      <c r="B40" s="24" t="inlineStr">
        <is>
          <t>n/a</t>
        </is>
      </c>
      <c r="C40" s="25" t="inlineStr">
        <is>
          <t>text (5-step narrative)</t>
        </is>
      </c>
      <c r="D40" s="25" t="inlineStr">
        <is>
          <t>OTHER</t>
        </is>
      </c>
      <c r="E40" s="26" t="inlineStr">
        <is>
          <t>gap = "mix" if untaggedCount&gt;0, else "perf" if untrackedCount&gt;0, else null (healthy) — content-signals-panel.tsx:169; each of the 5 steps is a fixed template string interpolating the real counts</t>
        </is>
      </c>
      <c r="F40" s="26" t="inlineStr">
        <is>
          <t>RootCauseChain component, src/components/content-signals-panel.tsx:156-312 — client-side conditional text (not AI-generated), driven by computeWeeklyContentCheck()'s untagged/untracked counts (content-signals.server.ts:348-477)</t>
        </is>
      </c>
      <c r="G40" s="26" t="inlineStr">
        <is>
          <t>Fixed trailing 7 days from now(); does NOT respect the page's date-range picker — content-signals.server.ts:353</t>
        </is>
      </c>
      <c r="H40" s="27" t="inlineStr">
        <is>
          <t>LIVE</t>
        </is>
      </c>
      <c r="I40" s="28" t="inlineStr">
        <is>
          <t>CONT-0463</t>
        </is>
      </c>
    </row>
    <row r="41" ht="30" customHeight="1">
      <c r="A41" s="29" t="inlineStr">
        <is>
          <t>Recommended Mix — Educational</t>
        </is>
      </c>
      <c r="B41" s="39" t="n"/>
      <c r="C41" s="31" t="inlineStr">
        <is>
          <t>%</t>
        </is>
      </c>
      <c r="D41" s="31" t="inlineStr">
        <is>
          <t>DERIVED</t>
        </is>
      </c>
      <c r="E41" s="32" t="inlineStr">
        <is>
          <t>Weighted mix % from FAQ video clicks (x2), setter-call signals (x3 tagged / x1.5 keyword-scored), onboarding intake signals (x2), and strong-performing reels (x2-3) — see aggregateMix() in content-performance.ts and the weight assignments at content-signals.server.ts:146,165-185,211-224,251-252</t>
        </is>
      </c>
      <c r="F41" s="32" t="inlineStr">
        <is>
          <t>demand.mix.educational, computed by computeDemand() in content-signals.server.ts:86-315</t>
        </is>
      </c>
      <c r="G41" s="32" t="inlineStr">
        <is>
          <t>Selected date range (range.from-range.to), default trailing 30 days — content-signals.server.ts:80-93</t>
        </is>
      </c>
      <c r="H41" s="27" t="inlineStr">
        <is>
          <t>LIVE</t>
        </is>
      </c>
      <c r="I41" s="33" t="inlineStr">
        <is>
          <t>CONT-0464</t>
        </is>
      </c>
    </row>
    <row r="42" ht="30" customHeight="1">
      <c r="A42" s="23" t="inlineStr">
        <is>
          <t>Recommended Mix — Credibility</t>
        </is>
      </c>
      <c r="B42" s="39" t="n"/>
      <c r="C42" s="25" t="inlineStr">
        <is>
          <t>%</t>
        </is>
      </c>
      <c r="D42" s="25" t="inlineStr">
        <is>
          <t>DERIVED</t>
        </is>
      </c>
      <c r="E42" s="26" t="inlineStr">
        <is>
          <t>Same formula as CONT-0464</t>
        </is>
      </c>
      <c r="F42" s="26" t="inlineStr">
        <is>
          <t>Same computeDemand() as CONT-0464, mix.credibility</t>
        </is>
      </c>
      <c r="G42" s="26" t="inlineStr">
        <is>
          <t>Selected date range (range.from-range.to), default trailing 30 days — content-signals.server.ts:80-93</t>
        </is>
      </c>
      <c r="H42" s="27" t="inlineStr">
        <is>
          <t>LIVE</t>
        </is>
      </c>
      <c r="I42" s="28" t="inlineStr">
        <is>
          <t>CONT-0465</t>
        </is>
      </c>
    </row>
    <row r="43" ht="30" customHeight="1">
      <c r="A43" s="29" t="inlineStr">
        <is>
          <t>Recommended Mix — Authoritative</t>
        </is>
      </c>
      <c r="B43" s="39" t="n"/>
      <c r="C43" s="31" t="inlineStr">
        <is>
          <t>%</t>
        </is>
      </c>
      <c r="D43" s="31" t="inlineStr">
        <is>
          <t>DERIVED</t>
        </is>
      </c>
      <c r="E43" s="32" t="inlineStr">
        <is>
          <t>Same formula as CONT-0464</t>
        </is>
      </c>
      <c r="F43" s="32" t="inlineStr">
        <is>
          <t>Same computeDemand(), mix.authoritative</t>
        </is>
      </c>
      <c r="G43" s="32" t="inlineStr">
        <is>
          <t>Selected date range (range.from-range.to), default trailing 30 days — content-signals.server.ts:80-93</t>
        </is>
      </c>
      <c r="H43" s="27" t="inlineStr">
        <is>
          <t>LIVE</t>
        </is>
      </c>
      <c r="I43" s="33" t="inlineStr">
        <is>
          <t>CONT-0466</t>
        </is>
      </c>
    </row>
    <row r="44" ht="30" customHeight="1">
      <c r="A44" s="23" t="inlineStr">
        <is>
          <t>Recommended Mix — Relatability (target reels/gap/weight per mechanism)</t>
        </is>
      </c>
      <c r="B44" s="39" t="n"/>
      <c r="C44" s="25" t="inlineStr">
        <is>
          <t>% (mix), count (reels/gap), weight units (kWeight)</t>
        </is>
      </c>
      <c r="D44" s="25" t="inlineStr">
        <is>
          <t>DERIVED</t>
        </is>
      </c>
      <c r="E44" s="26" t="inlineStr">
        <is>
          <t>reels = reelSplit(mix, reelTarget) apportioning the weekly reel target by mix % (src/lib/content-mechanisms.ts reelSplit()); gap = reels - weekly.per[k].count; weight = sum of that mechanism's driver weights</t>
        </is>
      </c>
      <c r="F44" s="26" t="inlineStr">
        <is>
          <t>mix.relatability plus per-mechanism reel target/gap/weight, content-signals-panel.tsx:388-444</t>
        </is>
      </c>
      <c r="G44" s="26" t="inlineStr">
        <is>
          <t>Selected date range (range.from-range.to), default trailing 30 days — content-signals.server.ts:80-93</t>
        </is>
      </c>
      <c r="H44" s="27" t="inlineStr">
        <is>
          <t>LIVE</t>
        </is>
      </c>
      <c r="I44" s="28" t="inlineStr">
        <is>
          <t>CONT-0467</t>
        </is>
      </c>
    </row>
    <row r="45" ht="30" customHeight="1">
      <c r="A45" s="29" t="inlineStr">
        <is>
          <t>Weekly Check — Reels posted</t>
        </is>
      </c>
      <c r="B45" s="37" t="n"/>
      <c r="C45" s="31" t="inlineStr">
        <is>
          <t>count</t>
        </is>
      </c>
      <c r="D45" s="31" t="inlineStr">
        <is>
          <t>AGGREGATED</t>
        </is>
      </c>
      <c r="E45" s="32" t="inlineStr">
        <is>
          <t>count of content_pieces with platform in ('reel','tiktok','youtube_short') created in the last 7 days</t>
        </is>
      </c>
      <c r="F45" s="32" t="inlineStr">
        <is>
          <t>weekly.reels (content-signals.server.ts:405-407)</t>
        </is>
      </c>
      <c r="G45" s="32" t="inlineStr">
        <is>
          <t>Fixed trailing 7 days from now(); does NOT respect the page's date-range picker — content-signals.server.ts:353</t>
        </is>
      </c>
      <c r="H45" s="27" t="inlineStr">
        <is>
          <t>LIVE</t>
        </is>
      </c>
      <c r="I45" s="33" t="inlineStr">
        <is>
          <t>CONT-0468</t>
        </is>
      </c>
    </row>
    <row r="46" ht="30" customHeight="1">
      <c r="A46" s="23" t="inlineStr">
        <is>
          <t>Weekly Check — categories covered</t>
        </is>
      </c>
      <c r="B46" s="24" t="inlineStr">
        <is>
          <t>n/a</t>
        </is>
      </c>
      <c r="C46" s="25" t="inlineStr">
        <is>
          <t>boolean + count</t>
        </is>
      </c>
      <c r="D46" s="25" t="inlineStr">
        <is>
          <t>STATUS</t>
        </is>
      </c>
      <c r="E46" s="26" t="inlineStr">
        <is>
          <t>MECHANISM_KEYS.filter(k =&gt; per[k].count===0) — which of the 4 mechanisms had zero posts this week</t>
        </is>
      </c>
      <c r="F46" s="26" t="inlineStr">
        <is>
          <t>weekly.missing.length===0 (content-signals.server.ts:408)</t>
        </is>
      </c>
      <c r="G46" s="26" t="inlineStr">
        <is>
          <t>Fixed trailing 7 days from now(); does NOT respect the page's date-range picker — content-signals.server.ts:353</t>
        </is>
      </c>
      <c r="H46" s="27" t="inlineStr">
        <is>
          <t>LIVE</t>
        </is>
      </c>
      <c r="I46" s="28" t="inlineStr">
        <is>
          <t>CONT-0469</t>
        </is>
      </c>
    </row>
    <row r="47" ht="30" customHeight="1">
      <c r="A47" s="29" t="inlineStr">
        <is>
          <t>Untagged pieces</t>
        </is>
      </c>
      <c r="B47" s="37" t="n"/>
      <c r="C47" s="31" t="inlineStr">
        <is>
          <t>count</t>
        </is>
      </c>
      <c r="D47" s="31" t="inlineStr">
        <is>
          <t>AGGREGATED</t>
        </is>
      </c>
      <c r="E47" s="32" t="inlineStr">
        <is>
          <t>count of content_pieces (last 7 days) with mechanism IS NULL</t>
        </is>
      </c>
      <c r="F47" s="32" t="inlineStr">
        <is>
          <t>weekly.per['untagged'].count (content-signals.server.ts:381,384-386)</t>
        </is>
      </c>
      <c r="G47" s="32" t="inlineStr">
        <is>
          <t>Fixed trailing 7 days from now(); does NOT respect the page's date-range picker — content-signals.server.ts:353</t>
        </is>
      </c>
      <c r="H47" s="27" t="inlineStr">
        <is>
          <t>LIVE</t>
        </is>
      </c>
      <c r="I47" s="33" t="inlineStr">
        <is>
          <t>CONT-0470</t>
        </is>
      </c>
    </row>
    <row r="48" ht="30" customHeight="1">
      <c r="A48" s="23" t="inlineStr">
        <is>
          <t>Best/worst mechanism (top/worst mechanism)</t>
        </is>
      </c>
      <c r="B48" s="37" t="n"/>
      <c r="C48" s="25" t="inlineStr">
        <is>
          <t>text label + detail sentence</t>
        </is>
      </c>
      <c r="D48" s="25" t="inlineStr">
        <is>
          <t>DERIVED</t>
        </is>
      </c>
      <c r="E48" s="26" t="inlineStr">
        <is>
          <t>score(k) = per[k].dms + per[k].calls*3; best = highest score, worst = lowest score among mechanisms with count&gt;0; worstDiagnosis classifies each worst-mechanism piece via classifyPerformance() against its own (mechanism x platform) trailing baseline (content-performance.ts + content-performance.s...</t>
        </is>
      </c>
      <c r="F48" s="26" t="inlineStr">
        <is>
          <t>weekly.best / weekly.worst + weekly.worstDiagnosis (content-signals.server.ts:409-474)</t>
        </is>
      </c>
      <c r="G48" s="26" t="inlineStr">
        <is>
          <t>Fixed trailing 7 days from now(); does NOT respect the page's date-range picker — content-signals.server.ts:353</t>
        </is>
      </c>
      <c r="H48" s="27" t="inlineStr">
        <is>
          <t>LIVE</t>
        </is>
      </c>
      <c r="I48" s="28" t="inlineStr">
        <is>
          <t>CONT-0471</t>
        </is>
      </c>
    </row>
    <row r="49" ht="30" customHeight="1">
      <c r="A49" s="29" t="inlineStr">
        <is>
          <t>Drivers Log</t>
        </is>
      </c>
      <c r="B49" s="30" t="inlineStr">
        <is>
          <t>n/a</t>
        </is>
      </c>
      <c r="C49" s="31" t="inlineStr">
        <is>
          <t>list of records + weight</t>
        </is>
      </c>
      <c r="D49" s="31" t="inlineStr">
        <is>
          <t>EVENT</t>
        </is>
      </c>
      <c r="E49" s="32" t="inlineStr">
        <is>
          <t>Each driver is one real signal record (an FAQ video, a setter-call signal, an onboarding intake, or a strong-performing reel) with its computed weight — not an aggregate</t>
        </is>
      </c>
      <c r="F49" s="32" t="inlineStr">
        <is>
          <t>demand.drivers (content-signals.server.ts:133-262), rendered by DriversLogCard (content-signals-panel.tsx:663-726)</t>
        </is>
      </c>
      <c r="G49" s="32" t="inlineStr">
        <is>
          <t>Selected date range (range.from-range.to), default trailing 30 days — content-signals.server.ts:80-93</t>
        </is>
      </c>
      <c r="H49" s="27" t="inlineStr">
        <is>
          <t>LIVE</t>
        </is>
      </c>
      <c r="I49" s="33" t="inlineStr">
        <is>
          <t>CONT-0472</t>
        </is>
      </c>
    </row>
    <row r="50" ht="30" customHeight="1">
      <c r="A50" s="23" t="inlineStr">
        <is>
          <t>AI Bottleneck Read — Finding</t>
        </is>
      </c>
      <c r="B50" s="24" t="inlineStr">
        <is>
          <t>n/a</t>
        </is>
      </c>
      <c r="C50" s="25" t="inlineStr">
        <is>
          <t>text</t>
        </is>
      </c>
      <c r="D50" s="25" t="inlineStr">
        <is>
          <t>OTHER</t>
        </is>
      </c>
      <c r="E50" s="26" t="inlineStr">
        <is>
          <t>AI-generated text, forced into structured JSON via tool-calling (content-signals.server.ts:521-563); not a formula</t>
        </is>
      </c>
      <c r="F50" s="26" t="inlineStr">
        <is>
          <t>insight.finding, from analyzeContentSystem() -&gt; gatewayInsights() (content-signals.server.ts:509-587,590-886), Lovable AI Gateway call (model openai/gpt-5.6-sol)</t>
        </is>
      </c>
      <c r="G50" s="26" t="inlineStr">
        <is>
          <t>Selected date range (range.from-range.to), default trailing 30 days — content-signals.server.ts:80-93</t>
        </is>
      </c>
      <c r="H50" s="38" t="inlineStr">
        <is>
          <t>PARTIALLY CONNECTED</t>
        </is>
      </c>
      <c r="I50" s="28" t="inlineStr">
        <is>
          <t>CONT-0473</t>
        </is>
      </c>
    </row>
    <row r="51" ht="30" customHeight="1">
      <c r="A51" s="29" t="inlineStr">
        <is>
          <t>AI Bottleneck Read — Evidence</t>
        </is>
      </c>
      <c r="B51" s="30" t="inlineStr">
        <is>
          <t>n/a</t>
        </is>
      </c>
      <c r="C51" s="31" t="inlineStr">
        <is>
          <t>text</t>
        </is>
      </c>
      <c r="D51" s="31" t="inlineStr">
        <is>
          <t>OTHER</t>
        </is>
      </c>
      <c r="E51" s="32" t="inlineStr">
        <is>
          <t>AI-generated, instructed to cite "the exact numbers from the data below" (content-signals.server.ts:875)</t>
        </is>
      </c>
      <c r="F51" s="32" t="inlineStr">
        <is>
          <t>insight.supportingData, same call as CONT-0473</t>
        </is>
      </c>
      <c r="G51" s="32" t="inlineStr">
        <is>
          <t>Selected date range (range.from-range.to), default trailing 30 days — content-signals.server.ts:80-93</t>
        </is>
      </c>
      <c r="H51" s="38" t="inlineStr">
        <is>
          <t>PARTIALLY CONNECTED</t>
        </is>
      </c>
      <c r="I51" s="33" t="inlineStr">
        <is>
          <t>CONT-0474</t>
        </is>
      </c>
    </row>
    <row r="52" ht="30" customHeight="1">
      <c r="A52" s="23" t="inlineStr">
        <is>
          <t>AI Bottleneck Read — Why it matters</t>
        </is>
      </c>
      <c r="B52" s="24" t="inlineStr">
        <is>
          <t>n/a</t>
        </is>
      </c>
      <c r="C52" s="25" t="inlineStr">
        <is>
          <t>text</t>
        </is>
      </c>
      <c r="D52" s="25" t="inlineStr">
        <is>
          <t>OTHER</t>
        </is>
      </c>
      <c r="E52" s="26" t="inlineStr">
        <is>
          <t>AI-generated</t>
        </is>
      </c>
      <c r="F52" s="26" t="inlineStr">
        <is>
          <t>insight.whyItMatters, same call</t>
        </is>
      </c>
      <c r="G52" s="26" t="inlineStr">
        <is>
          <t>Selected date range (range.from-range.to), default trailing 30 days — content-signals.server.ts:80-93</t>
        </is>
      </c>
      <c r="H52" s="38" t="inlineStr">
        <is>
          <t>PARTIALLY CONNECTED</t>
        </is>
      </c>
      <c r="I52" s="28" t="inlineStr">
        <is>
          <t>CONT-0475</t>
        </is>
      </c>
    </row>
    <row r="53" ht="30" customHeight="1">
      <c r="A53" s="29" t="inlineStr">
        <is>
          <t>AI Bottleneck Read — Recommended action</t>
        </is>
      </c>
      <c r="B53" s="30" t="inlineStr">
        <is>
          <t>n/a</t>
        </is>
      </c>
      <c r="C53" s="31" t="inlineStr">
        <is>
          <t>text</t>
        </is>
      </c>
      <c r="D53" s="31" t="inlineStr">
        <is>
          <t>OTHER</t>
        </is>
      </c>
      <c r="E53" s="32" t="inlineStr">
        <is>
          <t>AI-generated</t>
        </is>
      </c>
      <c r="F53" s="32" t="inlineStr">
        <is>
          <t>insight.recommendedAction, same call</t>
        </is>
      </c>
      <c r="G53" s="32" t="inlineStr">
        <is>
          <t>Selected date range (range.from-range.to), default trailing 30 days — content-signals.server.ts:80-93</t>
        </is>
      </c>
      <c r="H53" s="38" t="inlineStr">
        <is>
          <t>PARTIALLY CONNECTED</t>
        </is>
      </c>
      <c r="I53" s="33" t="inlineStr">
        <is>
          <t>CONT-0476</t>
        </is>
      </c>
    </row>
    <row r="54" ht="30" customHeight="1">
      <c r="A54" s="23" t="inlineStr">
        <is>
          <t>AI Bottleneck Read — Confidence</t>
        </is>
      </c>
      <c r="B54" s="24" t="inlineStr">
        <is>
          <t>n/a</t>
        </is>
      </c>
      <c r="C54" s="25" t="inlineStr">
        <is>
          <t>categorical</t>
        </is>
      </c>
      <c r="D54" s="25" t="inlineStr">
        <is>
          <t>OTHER</t>
        </is>
      </c>
      <c r="E54" s="26" t="inlineStr">
        <is>
          <t>AI-assigned, instructed to be "low whenever the sample size is small or the data is bucketed as not-enough-data" (content-signals.server.ts:878)</t>
        </is>
      </c>
      <c r="F54" s="26" t="inlineStr">
        <is>
          <t>insight.confidence, enum forced by the tool schema to high|medium|low (content-signals.server.ts:538)</t>
        </is>
      </c>
      <c r="G54" s="26" t="inlineStr">
        <is>
          <t>Selected date range (range.from-range.to), default trailing 30 days — content-signals.server.ts:80-93</t>
        </is>
      </c>
      <c r="H54" s="38" t="inlineStr">
        <is>
          <t>PARTIALLY CONNECTED</t>
        </is>
      </c>
      <c r="I54" s="28" t="inlineStr">
        <is>
          <t>CONT-0477</t>
        </is>
      </c>
    </row>
    <row r="55" ht="30" customHeight="1">
      <c r="A55" s="29" t="inlineStr">
        <is>
          <t>AI Bottleneck Read — Sample size</t>
        </is>
      </c>
      <c r="B55" s="30" t="inlineStr">
        <is>
          <t>n/a</t>
        </is>
      </c>
      <c r="C55" s="31" t="inlineStr">
        <is>
          <t>text</t>
        </is>
      </c>
      <c r="D55" s="31" t="inlineStr">
        <is>
          <t>OTHER</t>
        </is>
      </c>
      <c r="E55" s="32" t="inlineStr">
        <is>
          <t>AI-stated denominator in words, instructed to be "the exact count/denominator behind the finding" (content-signals.server.ts:879)</t>
        </is>
      </c>
      <c r="F55" s="32" t="inlineStr">
        <is>
          <t>insight.sampleSize (content-signals.server.ts:539)</t>
        </is>
      </c>
      <c r="G55" s="32" t="inlineStr">
        <is>
          <t>Selected date range (range.from-range.to), default trailing 30 days — content-signals.server.ts:80-93</t>
        </is>
      </c>
      <c r="H55" s="38" t="inlineStr">
        <is>
          <t>PARTIALLY CONNECTED</t>
        </is>
      </c>
      <c r="I55" s="33" t="inlineStr">
        <is>
          <t>CONT-0478</t>
        </is>
      </c>
    </row>
    <row r="56" ht="30" customHeight="1">
      <c r="A56" s="23" t="inlineStr">
        <is>
          <t>Setter Signals — Beliefs</t>
        </is>
      </c>
      <c r="B56" s="24" t="inlineStr">
        <is>
          <t>n/a</t>
        </is>
      </c>
      <c r="C56" s="25" t="inlineStr">
        <is>
          <t>list of text</t>
        </is>
      </c>
      <c r="D56" s="25" t="inlineStr">
        <is>
          <t>EVENT</t>
        </is>
      </c>
      <c r="E56" s="26" t="inlineStr">
        <is>
          <t>AI-extracted list from a pasted transcript/notes, forced JSON (content-signals.server.ts:897-898)</t>
        </is>
      </c>
      <c r="F56" s="26" t="inlineStr">
        <is>
          <t>setter_call_signals.limiting_beliefs (text[]), src/components/setter-signals-panel.tsx:41-52; written via logSetterSignalFn -&gt; extractSetterSignals() AI screen (content-signals.functions.ts:59-95, content-signals.server.ts:888-919)</t>
        </is>
      </c>
      <c r="G56" s="26" t="inlineStr">
        <is>
          <t>None — snapshot of current row/record state, not time-windowed (query filtered to the selected page date range via call_date — setter-signals-panel.tsx:44)</t>
        </is>
      </c>
      <c r="H56" s="27" t="inlineStr">
        <is>
          <t>LIVE</t>
        </is>
      </c>
      <c r="I56" s="28" t="inlineStr">
        <is>
          <t>CONT-0479</t>
        </is>
      </c>
    </row>
    <row r="57" ht="30" customHeight="1">
      <c r="A57" s="29" t="inlineStr">
        <is>
          <t>Setter Signals — Objections</t>
        </is>
      </c>
      <c r="B57" s="30" t="inlineStr">
        <is>
          <t>n/a</t>
        </is>
      </c>
      <c r="C57" s="31" t="inlineStr">
        <is>
          <t>list of text</t>
        </is>
      </c>
      <c r="D57" s="31" t="inlineStr">
        <is>
          <t>EVENT</t>
        </is>
      </c>
      <c r="E57" s="32" t="inlineStr">
        <is>
          <t>Same AI extraction</t>
        </is>
      </c>
      <c r="F57" s="32" t="inlineStr">
        <is>
          <t>setter_call_signals.objections (text[]), same source as CONT-0479</t>
        </is>
      </c>
      <c r="G57" s="32" t="inlineStr">
        <is>
          <t>Same as CONT-0479</t>
        </is>
      </c>
      <c r="H57" s="27" t="inlineStr">
        <is>
          <t>LIVE</t>
        </is>
      </c>
      <c r="I57" s="33" t="inlineStr">
        <is>
          <t>CONT-0480</t>
        </is>
      </c>
    </row>
    <row r="58" ht="6" customHeight="1"/>
    <row r="59" ht="20" customHeight="1">
      <c r="A59" s="22" t="inlineStr">
        <is>
          <t>AVAILABILITY TILES</t>
        </is>
      </c>
    </row>
    <row r="60" ht="30" customHeight="1">
      <c r="A60" s="23" t="inlineStr">
        <is>
          <t>Audience snapshot</t>
        </is>
      </c>
      <c r="B60" s="24" t="inlineStr">
        <is>
          <t>n/a</t>
        </is>
      </c>
      <c r="C60" s="25" t="inlineStr">
        <is>
          <t>text</t>
        </is>
      </c>
      <c r="D60" s="25" t="inlineStr">
        <is>
          <t>OTHER</t>
        </is>
      </c>
      <c r="E60" s="26" t="inlineStr">
        <is>
          <t>None</t>
        </is>
      </c>
      <c r="F60" s="26" t="inlineStr">
        <is>
          <t>Hardcoded literal "Not connected" (content-command-center.tsx:1224 value="Not connected")</t>
        </is>
      </c>
      <c r="G60" s="26" t="inlineStr">
        <is>
          <t>N/A</t>
        </is>
      </c>
      <c r="H60" s="36" t="inlineStr">
        <is>
          <t>NOT AVAILABLE</t>
        </is>
      </c>
      <c r="I60" s="28" t="inlineStr">
        <is>
          <t>CONT-0481</t>
        </is>
      </c>
    </row>
    <row r="61" ht="30" customHeight="1">
      <c r="A61" s="29" t="inlineStr">
        <is>
          <t>Stories (slide views)</t>
        </is>
      </c>
      <c r="B61" s="37" t="n"/>
      <c r="C61" s="31" t="inlineStr">
        <is>
          <t>count (views), count (sequences/slides), %</t>
        </is>
      </c>
      <c r="D61" s="31" t="inlineStr">
        <is>
          <t>AGGREGATED</t>
        </is>
      </c>
      <c r="E61" s="32" t="inlineStr">
        <is>
          <t>sum(slide_metrics.views) across all story_slides for the org; sequencesTracked = distinct content_id count; avgExitRatePct = totalExits/totalViews*100</t>
        </is>
      </c>
      <c r="F61" s="32" t="inlineStr">
        <is>
          <t>storiesSummary query (content.tsx:597-635), reading story_slides LEFT JOIN slide_metrics</t>
        </is>
      </c>
      <c r="G61" s="32" t="inlineStr">
        <is>
          <t>None — all rows for the org, no date filter in the query</t>
        </is>
      </c>
      <c r="H61" s="27" t="inlineStr">
        <is>
          <t>LIVE</t>
        </is>
      </c>
      <c r="I61" s="33" t="inlineStr">
        <is>
          <t>CONT-0482</t>
        </is>
      </c>
    </row>
    <row r="62" ht="30" customHeight="1">
      <c r="A62" s="23" t="inlineStr">
        <is>
          <t>Retention</t>
        </is>
      </c>
      <c r="B62" s="39" t="n"/>
      <c r="C62" s="25" t="inlineStr">
        <is>
          <t>%</t>
        </is>
      </c>
      <c r="D62" s="25" t="inlineStr">
        <is>
          <t>AGGREGATED</t>
        </is>
      </c>
      <c r="E62" s="26" t="inlineStr">
        <is>
          <t>avg(avg_watch_pct ?? hook_retention_pct ?? 0) over pieces where any of avg_watch_pct/hook_retention_pct/watch_time_seconds is non-null</t>
        </is>
      </c>
      <c r="F62" s="26" t="inlineStr">
        <is>
          <t>stats.averageWatchPct (content-command-center.tsx:409-420)</t>
        </is>
      </c>
      <c r="G62" s="26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62" s="27" t="inlineStr">
        <is>
          <t>LIVE</t>
        </is>
      </c>
      <c r="I62" s="28" t="inlineStr">
        <is>
          <t>CONT-0483</t>
        </is>
      </c>
    </row>
    <row r="63" ht="30" customHeight="1">
      <c r="A63" s="29" t="inlineStr">
        <is>
          <t>Replay depth</t>
        </is>
      </c>
      <c r="B63" s="37" t="n"/>
      <c r="C63" s="31" t="inlineStr">
        <is>
          <t>ratio (x)</t>
        </is>
      </c>
      <c r="D63" s="31" t="inlineStr">
        <is>
          <t>DERIVED</t>
        </is>
      </c>
      <c r="E63" s="32" t="inlineStr">
        <is>
          <t>sum(views) / sum(reach), over pieces where both reach&gt;0 and views is logged</t>
        </is>
      </c>
      <c r="F63" s="32" t="inlineStr">
        <is>
          <t>stats.averageReplayDepth (content-command-center.tsx:402-408)</t>
        </is>
      </c>
      <c r="G63" s="32" t="inlineStr">
        <is>
          <t>Unranged: latest 200 content_pieces ordered by posted_at desc (page date-range picker does NOT filter this — content.tsx:998 passes the raw `pieces` query result to ContentCommandCenter, not the range-filtered `perf` variable computed at content.tsx:791-864)</t>
        </is>
      </c>
      <c r="H63" s="27" t="inlineStr">
        <is>
          <t>LIVE</t>
        </is>
      </c>
      <c r="I63" s="33" t="inlineStr">
        <is>
          <t>CONT-0484</t>
        </is>
      </c>
    </row>
    <row r="64" ht="6" customHeight="1"/>
    <row r="65" ht="20" customHeight="1">
      <c r="A65" s="22" t="inlineStr">
        <is>
          <t>TABLE VIEW COLUMNS</t>
        </is>
      </c>
    </row>
    <row r="66" ht="30" customHeight="1">
      <c r="A66" s="23" t="inlineStr">
        <is>
          <t>Title</t>
        </is>
      </c>
      <c r="B66" s="37" t="n"/>
      <c r="C66" s="25" t="inlineStr">
        <is>
          <t>text</t>
        </is>
      </c>
      <c r="D66" s="25" t="inlineStr">
        <is>
          <t>RAW</t>
        </is>
      </c>
      <c r="E66" s="26" t="inlineStr">
        <is>
          <t>N/A</t>
        </is>
      </c>
      <c r="F66" s="26" t="inlineStr">
        <is>
          <t>content_pieces.title (content.tsx:1116-1119)</t>
        </is>
      </c>
      <c r="G66" s="26" t="inlineStr">
        <is>
          <t>None — all rows for the org, no date filter in the query</t>
        </is>
      </c>
      <c r="H66" s="27" t="inlineStr">
        <is>
          <t>LIVE</t>
        </is>
      </c>
      <c r="I66" s="28" t="inlineStr">
        <is>
          <t>CONT-0485</t>
        </is>
      </c>
    </row>
    <row r="67" ht="30" customHeight="1">
      <c r="A67" s="29" t="inlineStr">
        <is>
          <t>Platform</t>
        </is>
      </c>
      <c r="B67" s="37" t="n"/>
      <c r="C67" s="31" t="inlineStr">
        <is>
          <t>text (enum)</t>
        </is>
      </c>
      <c r="D67" s="31" t="inlineStr">
        <is>
          <t>RAW</t>
        </is>
      </c>
      <c r="E67" s="32" t="inlineStr">
        <is>
          <t>N/A</t>
        </is>
      </c>
      <c r="F67" s="32" t="inlineStr">
        <is>
          <t>content_pieces.platform (content.tsx:1122-1124)</t>
        </is>
      </c>
      <c r="G67" s="32" t="inlineStr">
        <is>
          <t>None — all rows for the org, no date filter in the query</t>
        </is>
      </c>
      <c r="H67" s="27" t="inlineStr">
        <is>
          <t>LIVE</t>
        </is>
      </c>
      <c r="I67" s="33" t="inlineStr">
        <is>
          <t>CONT-0486</t>
        </is>
      </c>
    </row>
    <row r="68" ht="30" customHeight="1">
      <c r="A68" s="23" t="inlineStr">
        <is>
          <t>Angle</t>
        </is>
      </c>
      <c r="B68" s="37" t="n"/>
      <c r="C68" s="25" t="inlineStr">
        <is>
          <t>text (enum: authority/story/contrarian/tutorial/case_study/aspirational/fear/social_proof)</t>
        </is>
      </c>
      <c r="D68" s="25" t="inlineStr">
        <is>
          <t>RAW</t>
        </is>
      </c>
      <c r="E68" s="26" t="inlineStr">
        <is>
          <t>N/A</t>
        </is>
      </c>
      <c r="F68" s="26" t="inlineStr">
        <is>
          <t>content_pieces.angle (content.tsx:1125)</t>
        </is>
      </c>
      <c r="G68" s="26" t="inlineStr">
        <is>
          <t>None — all rows for the org, no date filter in the query</t>
        </is>
      </c>
      <c r="H68" s="27" t="inlineStr">
        <is>
          <t>LIVE</t>
        </is>
      </c>
      <c r="I68" s="28" t="inlineStr">
        <is>
          <t>CONT-0487</t>
        </is>
      </c>
    </row>
    <row r="69" ht="30" customHeight="1">
      <c r="A69" s="29" t="inlineStr">
        <is>
          <t>Funnel</t>
        </is>
      </c>
      <c r="B69" s="37" t="n"/>
      <c r="C69" s="31" t="inlineStr">
        <is>
          <t>text (TOF/MOF/BOF)</t>
        </is>
      </c>
      <c r="D69" s="31" t="inlineStr">
        <is>
          <t>RAW</t>
        </is>
      </c>
      <c r="E69" s="32" t="inlineStr">
        <is>
          <t>N/A</t>
        </is>
      </c>
      <c r="F69" s="32" t="inlineStr">
        <is>
          <t>content_pieces.funnel_stage (content.tsx:1126-1136)</t>
        </is>
      </c>
      <c r="G69" s="32" t="inlineStr">
        <is>
          <t>None — all rows for the org, no date filter in the query</t>
        </is>
      </c>
      <c r="H69" s="27" t="inlineStr">
        <is>
          <t>LIVE</t>
        </is>
      </c>
      <c r="I69" s="33" t="inlineStr">
        <is>
          <t>CONT-0488</t>
        </is>
      </c>
    </row>
    <row r="70" ht="30" customHeight="1">
      <c r="A70" s="23" t="inlineStr">
        <is>
          <t>Link</t>
        </is>
      </c>
      <c r="B70" s="37" t="n"/>
      <c r="C70" s="25" t="inlineStr">
        <is>
          <t>URL</t>
        </is>
      </c>
      <c r="D70" s="25" t="inlineStr">
        <is>
          <t>RAW</t>
        </is>
      </c>
      <c r="E70" s="26" t="inlineStr">
        <is>
          <t>N/A</t>
        </is>
      </c>
      <c r="F70" s="26" t="inlineStr">
        <is>
          <t>content_pieces.url (content.tsx:1137-1151)</t>
        </is>
      </c>
      <c r="G70" s="26" t="inlineStr">
        <is>
          <t>None — all rows for the org, no date filter in the query</t>
        </is>
      </c>
      <c r="H70" s="27" t="inlineStr">
        <is>
          <t>LIVE</t>
        </is>
      </c>
      <c r="I70" s="28" t="inlineStr">
        <is>
          <t>CONT-0489</t>
        </is>
      </c>
    </row>
    <row r="71" ht="30" customHeight="1">
      <c r="A71" s="29" t="inlineStr">
        <is>
          <t>Views</t>
        </is>
      </c>
      <c r="B71" s="37" t="n"/>
      <c r="C71" s="31" t="inlineStr">
        <is>
          <t>count</t>
        </is>
      </c>
      <c r="D71" s="31" t="inlineStr">
        <is>
          <t>RAW</t>
        </is>
      </c>
      <c r="E71" s="32" t="inlineStr">
        <is>
          <t>N/A</t>
        </is>
      </c>
      <c r="F71" s="32" t="inlineStr">
        <is>
          <t>content_metrics.views, first array element (content.tsx:1091,1152-1154 — no explicit ORDER BY captured_at on this query, unlike content-command-center.tsx's metricOf() which sorts)</t>
        </is>
      </c>
      <c r="G71" s="32" t="inlineStr">
        <is>
          <t>None — all rows for the org, no date filter in the query</t>
        </is>
      </c>
      <c r="H71" s="27" t="inlineStr">
        <is>
          <t>LIVE</t>
        </is>
      </c>
      <c r="I71" s="33" t="inlineStr">
        <is>
          <t>CONT-0490</t>
        </is>
      </c>
    </row>
    <row r="72" ht="30" customHeight="1">
      <c r="A72" s="23" t="inlineStr">
        <is>
          <t>Leads</t>
        </is>
      </c>
      <c r="B72" s="37" t="n"/>
      <c r="C72" s="25" t="inlineStr">
        <is>
          <t>count</t>
        </is>
      </c>
      <c r="D72" s="25" t="inlineStr">
        <is>
          <t>RAW</t>
        </is>
      </c>
      <c r="E72" s="26" t="inlineStr">
        <is>
          <t>N/A</t>
        </is>
      </c>
      <c r="F72" s="26" t="inlineStr">
        <is>
          <t>content_metrics.leads_generated (content.tsx:1155-1157)</t>
        </is>
      </c>
      <c r="G72" s="26" t="inlineStr">
        <is>
          <t>None — all rows for the org, no date filter in the query</t>
        </is>
      </c>
      <c r="H72" s="27" t="inlineStr">
        <is>
          <t>LIVE</t>
        </is>
      </c>
      <c r="I72" s="28" t="inlineStr">
        <is>
          <t>CONT-0491</t>
        </is>
      </c>
    </row>
    <row r="73" ht="30" customHeight="1">
      <c r="A73" s="29" t="inlineStr">
        <is>
          <t>Closes</t>
        </is>
      </c>
      <c r="B73" s="30" t="inlineStr">
        <is>
          <t>n/a</t>
        </is>
      </c>
      <c r="C73" s="31" t="inlineStr">
        <is>
          <t>count</t>
        </is>
      </c>
      <c r="D73" s="31" t="inlineStr">
        <is>
          <t>OTHER</t>
        </is>
      </c>
      <c r="E73" s="32" t="inlineStr">
        <is>
          <t>None — content_metrics.closes has no write path (see CONT-0444)</t>
        </is>
      </c>
      <c r="F73" s="32" t="inlineStr">
        <is>
          <t>Hardcoded "Not tracked" (content.tsx:1161-1163)</t>
        </is>
      </c>
      <c r="G73" s="32" t="inlineStr">
        <is>
          <t>N/A</t>
        </is>
      </c>
      <c r="H73" s="36" t="inlineStr">
        <is>
          <t>PLACEHOLDER</t>
        </is>
      </c>
      <c r="I73" s="33" t="inlineStr">
        <is>
          <t>CONT-0492</t>
        </is>
      </c>
    </row>
    <row r="74" ht="30" customHeight="1">
      <c r="A74" s="23" t="inlineStr">
        <is>
          <t>Cash</t>
        </is>
      </c>
      <c r="B74" s="24" t="inlineStr">
        <is>
          <t>n/a</t>
        </is>
      </c>
      <c r="C74" s="25" t="inlineStr">
        <is>
          <t>$</t>
        </is>
      </c>
      <c r="D74" s="25" t="inlineStr">
        <is>
          <t>OTHER</t>
        </is>
      </c>
      <c r="E74" s="26" t="inlineStr">
        <is>
          <t>None — content_metrics.cash_collected_cents has no write path</t>
        </is>
      </c>
      <c r="F74" s="26" t="inlineStr">
        <is>
          <t>Hardcoded "Not tracked" (content.tsx:1164-1166)</t>
        </is>
      </c>
      <c r="G74" s="26" t="inlineStr">
        <is>
          <t>N/A</t>
        </is>
      </c>
      <c r="H74" s="36" t="inlineStr">
        <is>
          <t>PLACEHOLDER</t>
        </is>
      </c>
      <c r="I74" s="28" t="inlineStr">
        <is>
          <t>CONT-0493</t>
        </is>
      </c>
    </row>
    <row r="75" ht="30" customHeight="1">
      <c r="A75" s="29" t="inlineStr">
        <is>
          <t>Retention</t>
        </is>
      </c>
      <c r="B75" s="39" t="n"/>
      <c r="C75" s="31" t="inlineStr">
        <is>
          <t>%</t>
        </is>
      </c>
      <c r="D75" s="31" t="inlineStr">
        <is>
          <t>RAW</t>
        </is>
      </c>
      <c r="E75" s="32" t="inlineStr">
        <is>
          <t>N/A</t>
        </is>
      </c>
      <c r="F75" s="32" t="inlineStr">
        <is>
          <t>content_metrics.hook_retention_pct (content.tsx:1167-1169)</t>
        </is>
      </c>
      <c r="G75" s="32" t="inlineStr">
        <is>
          <t>None — all rows for the org, no date filter in the query</t>
        </is>
      </c>
      <c r="H75" s="27" t="inlineStr">
        <is>
          <t>LIVE</t>
        </is>
      </c>
      <c r="I75" s="33" t="inlineStr">
        <is>
          <t>CONT-0494</t>
        </is>
      </c>
    </row>
    <row r="76" ht="6" customHeight="1"/>
    <row r="77" ht="20" customHeight="1">
      <c r="A77" s="22" t="inlineStr">
        <is>
          <t>LOG CONTENT DIALOG FIELDS</t>
        </is>
      </c>
    </row>
    <row r="78" ht="30" customHeight="1">
      <c r="A78" s="23" t="inlineStr">
        <is>
          <t>Views</t>
        </is>
      </c>
      <c r="B78" s="37" t="n"/>
      <c r="C78" s="25" t="inlineStr">
        <is>
          <t>count</t>
        </is>
      </c>
      <c r="D78" s="25" t="inlineStr">
        <is>
          <t>RAW</t>
        </is>
      </c>
      <c r="E78" s="26" t="inlineStr">
        <is>
          <t>N/A (manual entry)</t>
        </is>
      </c>
      <c r="F78" s="26" t="inlineStr">
        <is>
          <t>form field name="views" -&gt; content_metrics.views (content.tsx:637-718 (save mutation) writes content_metrics; the field itself is a plain manually-typed number input in ContentForm (content.tsx:1365-1854); input at content.tsx:1665-1667)</t>
        </is>
      </c>
      <c r="G78" s="26" t="inlineStr">
        <is>
          <t>None — snapshot of current row/record state, not time-windowed</t>
        </is>
      </c>
      <c r="H78" s="27" t="inlineStr">
        <is>
          <t>LIVE</t>
        </is>
      </c>
      <c r="I78" s="28" t="inlineStr">
        <is>
          <t>CONT-0495</t>
        </is>
      </c>
    </row>
    <row r="79" ht="30" customHeight="1">
      <c r="A79" s="29" t="inlineStr">
        <is>
          <t>Reach</t>
        </is>
      </c>
      <c r="B79" s="37" t="n"/>
      <c r="C79" s="31" t="inlineStr">
        <is>
          <t>count</t>
        </is>
      </c>
      <c r="D79" s="31" t="inlineStr">
        <is>
          <t>RAW</t>
        </is>
      </c>
      <c r="E79" s="32" t="inlineStr">
        <is>
          <t>N/A</t>
        </is>
      </c>
      <c r="F79" s="32" t="inlineStr">
        <is>
          <t>form field "reach" -&gt; content_metrics.reach (content.tsx:1668-1671)</t>
        </is>
      </c>
      <c r="G79" s="32" t="inlineStr">
        <is>
          <t>None — snapshot of current row/record state, not time-windowed</t>
        </is>
      </c>
      <c r="H79" s="27" t="inlineStr">
        <is>
          <t>LIVE</t>
        </is>
      </c>
      <c r="I79" s="33" t="inlineStr">
        <is>
          <t>CONT-0496</t>
        </is>
      </c>
    </row>
    <row r="80" ht="30" customHeight="1">
      <c r="A80" s="23" t="inlineStr">
        <is>
          <t>Leads</t>
        </is>
      </c>
      <c r="B80" s="37" t="n"/>
      <c r="C80" s="25" t="inlineStr">
        <is>
          <t>count</t>
        </is>
      </c>
      <c r="D80" s="25" t="inlineStr">
        <is>
          <t>RAW</t>
        </is>
      </c>
      <c r="E80" s="26" t="inlineStr">
        <is>
          <t>N/A</t>
        </is>
      </c>
      <c r="F80" s="26" t="inlineStr">
        <is>
          <t>form field "leads" -&gt; content_metrics.leads_generated (content.tsx:670,1672-1675)</t>
        </is>
      </c>
      <c r="G80" s="26" t="inlineStr">
        <is>
          <t>None — snapshot of current row/record state, not time-windowed</t>
        </is>
      </c>
      <c r="H80" s="27" t="inlineStr">
        <is>
          <t>LIVE</t>
        </is>
      </c>
      <c r="I80" s="28" t="inlineStr">
        <is>
          <t>CONT-0497</t>
        </is>
      </c>
    </row>
    <row r="81" ht="30" customHeight="1">
      <c r="A81" s="29" t="inlineStr">
        <is>
          <t>Hook retention %</t>
        </is>
      </c>
      <c r="B81" s="39" t="n"/>
      <c r="C81" s="31" t="inlineStr">
        <is>
          <t>%</t>
        </is>
      </c>
      <c r="D81" s="31" t="inlineStr">
        <is>
          <t>RAW</t>
        </is>
      </c>
      <c r="E81" s="32" t="inlineStr">
        <is>
          <t>N/A — manually typed, NOT computed despite the % unit</t>
        </is>
      </c>
      <c r="F81" s="32" t="inlineStr">
        <is>
          <t>form field "retention" -&gt; content_metrics.hook_retention_pct (content.tsx:671,1676-1686)</t>
        </is>
      </c>
      <c r="G81" s="32" t="inlineStr">
        <is>
          <t>None — snapshot of current row/record state, not time-windowed</t>
        </is>
      </c>
      <c r="H81" s="27" t="inlineStr">
        <is>
          <t>LIVE</t>
        </is>
      </c>
      <c r="I81" s="33" t="inlineStr">
        <is>
          <t>CONT-0498</t>
        </is>
      </c>
    </row>
    <row r="82" ht="30" customHeight="1">
      <c r="A82" s="23" t="inlineStr">
        <is>
          <t>Avg watch %</t>
        </is>
      </c>
      <c r="B82" s="39" t="n"/>
      <c r="C82" s="25" t="inlineStr">
        <is>
          <t>%</t>
        </is>
      </c>
      <c r="D82" s="25" t="inlineStr">
        <is>
          <t>RAW</t>
        </is>
      </c>
      <c r="E82" s="26" t="inlineStr">
        <is>
          <t>N/A — manual entry</t>
        </is>
      </c>
      <c r="F82" s="26" t="inlineStr">
        <is>
          <t>form field "avg_watch_pct" -&gt; content_metrics.avg_watch_pct (content.tsx:672,1687-1697)</t>
        </is>
      </c>
      <c r="G82" s="26" t="inlineStr">
        <is>
          <t>None — snapshot of current row/record state, not time-windowed</t>
        </is>
      </c>
      <c r="H82" s="27" t="inlineStr">
        <is>
          <t>LIVE</t>
        </is>
      </c>
      <c r="I82" s="28" t="inlineStr">
        <is>
          <t>CONT-0499</t>
        </is>
      </c>
    </row>
    <row r="83" ht="30" customHeight="1">
      <c r="A83" s="29" t="inlineStr">
        <is>
          <t>Watch time</t>
        </is>
      </c>
      <c r="B83" s="37" t="n"/>
      <c r="C83" s="31" t="inlineStr">
        <is>
          <t>seconds</t>
        </is>
      </c>
      <c r="D83" s="31" t="inlineStr">
        <is>
          <t>RAW</t>
        </is>
      </c>
      <c r="E83" s="32" t="inlineStr">
        <is>
          <t>N/A</t>
        </is>
      </c>
      <c r="F83" s="32" t="inlineStr">
        <is>
          <t>form field "watch_time_seconds" -&gt; content_metrics.watch_time_seconds (content.tsx:673,1704-1712)</t>
        </is>
      </c>
      <c r="G83" s="32" t="inlineStr">
        <is>
          <t>None — snapshot of current row/record state, not time-windowed</t>
        </is>
      </c>
      <c r="H83" s="27" t="inlineStr">
        <is>
          <t>LIVE</t>
        </is>
      </c>
      <c r="I83" s="33" t="inlineStr">
        <is>
          <t>CONT-0500</t>
        </is>
      </c>
    </row>
    <row r="84" ht="30" customHeight="1">
      <c r="A84" s="23" t="inlineStr">
        <is>
          <t>3 sec hold %</t>
        </is>
      </c>
      <c r="B84" s="39" t="n"/>
      <c r="C84" s="25" t="inlineStr">
        <is>
          <t>%</t>
        </is>
      </c>
      <c r="D84" s="25" t="inlineStr">
        <is>
          <t>RAW</t>
        </is>
      </c>
      <c r="E84" s="26" t="inlineStr">
        <is>
          <t>N/A — manual entry</t>
        </is>
      </c>
      <c r="F84" s="26" t="inlineStr">
        <is>
          <t>form field "three_sec_hold_pct" -&gt; content_metrics.three_sec_hold_pct (content.tsx:674,1713-1723)</t>
        </is>
      </c>
      <c r="G84" s="26" t="inlineStr">
        <is>
          <t>None — snapshot of current row/record state, not time-windowed</t>
        </is>
      </c>
      <c r="H84" s="27" t="inlineStr">
        <is>
          <t>LIVE</t>
        </is>
      </c>
      <c r="I84" s="28" t="inlineStr">
        <is>
          <t>CONT-0501</t>
        </is>
      </c>
    </row>
    <row r="85" ht="30" customHeight="1">
      <c r="A85" s="29" t="inlineStr">
        <is>
          <t>10 sec retention %</t>
        </is>
      </c>
      <c r="B85" s="39" t="n"/>
      <c r="C85" s="31" t="inlineStr">
        <is>
          <t>%</t>
        </is>
      </c>
      <c r="D85" s="31" t="inlineStr">
        <is>
          <t>RAW</t>
        </is>
      </c>
      <c r="E85" s="32" t="inlineStr">
        <is>
          <t>N/A — manual entry</t>
        </is>
      </c>
      <c r="F85" s="32" t="inlineStr">
        <is>
          <t>form field "ten_sec_retention_pct" -&gt; content_metrics.ten_sec_retention_pct (content.tsx:675,1724-1734)</t>
        </is>
      </c>
      <c r="G85" s="32" t="inlineStr">
        <is>
          <t>None — snapshot of current row/record state, not time-windowed</t>
        </is>
      </c>
      <c r="H85" s="27" t="inlineStr">
        <is>
          <t>LIVE</t>
        </is>
      </c>
      <c r="I85" s="33" t="inlineStr">
        <is>
          <t>CONT-0502</t>
        </is>
      </c>
    </row>
    <row r="86" ht="30" customHeight="1">
      <c r="A86" s="23" t="inlineStr">
        <is>
          <t>Drop-off seconds/%</t>
        </is>
      </c>
      <c r="B86" s="37" t="n"/>
      <c r="C86" s="25" t="inlineStr">
        <is>
          <t>seconds AND %</t>
        </is>
      </c>
      <c r="D86" s="25" t="inlineStr">
        <is>
          <t>RAW</t>
        </is>
      </c>
      <c r="E86" s="26" t="inlineStr">
        <is>
          <t>N/A — both manual entry, not one computed field</t>
        </is>
      </c>
      <c r="F86" s="26" t="inlineStr">
        <is>
          <t>TWO distinct fields: form "drop_off_seconds" -&gt; content_metrics.drop_off_seconds (content.tsx:676,1736-1743) AND form "drop_off_rate_pct" -&gt; content_metrics.drop_off_rate_pct (content.tsx:688,1761-1770)</t>
        </is>
      </c>
      <c r="G86" s="26" t="inlineStr">
        <is>
          <t>None — snapshot of current row/record state, not time-windowed</t>
        </is>
      </c>
      <c r="H86" s="27" t="inlineStr">
        <is>
          <t>LIVE</t>
        </is>
      </c>
      <c r="I86" s="28" t="inlineStr">
        <is>
          <t>CONT-0503</t>
        </is>
      </c>
    </row>
    <row r="87" ht="30" customHeight="1">
      <c r="A87" s="29" t="inlineStr">
        <is>
          <t>Likes</t>
        </is>
      </c>
      <c r="B87" s="37" t="n"/>
      <c r="C87" s="31" t="inlineStr">
        <is>
          <t>count</t>
        </is>
      </c>
      <c r="D87" s="31" t="inlineStr">
        <is>
          <t>RAW</t>
        </is>
      </c>
      <c r="E87" s="32" t="inlineStr">
        <is>
          <t>N/A</t>
        </is>
      </c>
      <c r="F87" s="32" t="inlineStr">
        <is>
          <t>form "likes" -&gt; content_metrics.likes (content.tsx:677,1745-1747)</t>
        </is>
      </c>
      <c r="G87" s="32" t="inlineStr">
        <is>
          <t>None — snapshot of current row/record state, not time-windowed</t>
        </is>
      </c>
      <c r="H87" s="27" t="inlineStr">
        <is>
          <t>LIVE</t>
        </is>
      </c>
      <c r="I87" s="33" t="inlineStr">
        <is>
          <t>CONT-0504</t>
        </is>
      </c>
    </row>
    <row r="88" ht="30" customHeight="1">
      <c r="A88" s="23" t="inlineStr">
        <is>
          <t>Comments</t>
        </is>
      </c>
      <c r="B88" s="37" t="n"/>
      <c r="C88" s="25" t="inlineStr">
        <is>
          <t>count</t>
        </is>
      </c>
      <c r="D88" s="25" t="inlineStr">
        <is>
          <t>RAW</t>
        </is>
      </c>
      <c r="E88" s="26" t="inlineStr">
        <is>
          <t>N/A</t>
        </is>
      </c>
      <c r="F88" s="26" t="inlineStr">
        <is>
          <t>form "comments" -&gt; content_metrics.comments (content.tsx:678,1749-1751)</t>
        </is>
      </c>
      <c r="G88" s="26" t="inlineStr">
        <is>
          <t>None — snapshot of current row/record state, not time-windowed</t>
        </is>
      </c>
      <c r="H88" s="27" t="inlineStr">
        <is>
          <t>LIVE</t>
        </is>
      </c>
      <c r="I88" s="28" t="inlineStr">
        <is>
          <t>CONT-0505</t>
        </is>
      </c>
    </row>
    <row r="89" ht="30" customHeight="1">
      <c r="A89" s="29" t="inlineStr">
        <is>
          <t>Shares</t>
        </is>
      </c>
      <c r="B89" s="37" t="n"/>
      <c r="C89" s="31" t="inlineStr">
        <is>
          <t>count</t>
        </is>
      </c>
      <c r="D89" s="31" t="inlineStr">
        <is>
          <t>RAW</t>
        </is>
      </c>
      <c r="E89" s="32" t="inlineStr">
        <is>
          <t>N/A</t>
        </is>
      </c>
      <c r="F89" s="32" t="inlineStr">
        <is>
          <t>form "shares" -&gt; content_metrics.shares (content.tsx:679,1753-1755)</t>
        </is>
      </c>
      <c r="G89" s="32" t="inlineStr">
        <is>
          <t>None — snapshot of current row/record state, not time-windowed</t>
        </is>
      </c>
      <c r="H89" s="27" t="inlineStr">
        <is>
          <t>LIVE</t>
        </is>
      </c>
      <c r="I89" s="33" t="inlineStr">
        <is>
          <t>CONT-0506</t>
        </is>
      </c>
    </row>
    <row r="90" ht="30" customHeight="1">
      <c r="A90" s="23" t="inlineStr">
        <is>
          <t>Saves</t>
        </is>
      </c>
      <c r="B90" s="37" t="n"/>
      <c r="C90" s="25" t="inlineStr">
        <is>
          <t>count</t>
        </is>
      </c>
      <c r="D90" s="25" t="inlineStr">
        <is>
          <t>RAW</t>
        </is>
      </c>
      <c r="E90" s="26" t="inlineStr">
        <is>
          <t>N/A</t>
        </is>
      </c>
      <c r="F90" s="26" t="inlineStr">
        <is>
          <t>form "saves" -&gt; content_metrics.saves (content.tsx:680,1757-1759)</t>
        </is>
      </c>
      <c r="G90" s="26" t="inlineStr">
        <is>
          <t>None — snapshot of current row/record state, not time-windowed</t>
        </is>
      </c>
      <c r="H90" s="27" t="inlineStr">
        <is>
          <t>LIVE</t>
        </is>
      </c>
      <c r="I90" s="28" t="inlineStr">
        <is>
          <t>CONT-0507</t>
        </is>
      </c>
    </row>
    <row r="91" ht="30" customHeight="1">
      <c r="A91" s="29" t="inlineStr">
        <is>
          <t>Follower views</t>
        </is>
      </c>
      <c r="B91" s="37" t="n"/>
      <c r="C91" s="31" t="inlineStr">
        <is>
          <t>count</t>
        </is>
      </c>
      <c r="D91" s="31" t="inlineStr">
        <is>
          <t>RAW</t>
        </is>
      </c>
      <c r="E91" s="32" t="inlineStr">
        <is>
          <t>N/A</t>
        </is>
      </c>
      <c r="F91" s="32" t="inlineStr">
        <is>
          <t>form "follower_views" -&gt; content_metrics.follower_views (content.tsx:681,1772-1779)</t>
        </is>
      </c>
      <c r="G91" s="32" t="inlineStr">
        <is>
          <t>None — snapshot of current row/record state, not time-windowed</t>
        </is>
      </c>
      <c r="H91" s="27" t="inlineStr">
        <is>
          <t>LIVE</t>
        </is>
      </c>
      <c r="I91" s="33" t="inlineStr">
        <is>
          <t>CONT-0508</t>
        </is>
      </c>
    </row>
    <row r="92" ht="30" customHeight="1">
      <c r="A92" s="23" t="inlineStr">
        <is>
          <t>Non-follower views</t>
        </is>
      </c>
      <c r="B92" s="37" t="n"/>
      <c r="C92" s="25" t="inlineStr">
        <is>
          <t>count</t>
        </is>
      </c>
      <c r="D92" s="25" t="inlineStr">
        <is>
          <t>RAW</t>
        </is>
      </c>
      <c r="E92" s="26" t="inlineStr">
        <is>
          <t>N/A</t>
        </is>
      </c>
      <c r="F92" s="26" t="inlineStr">
        <is>
          <t>form "non_follower_views" -&gt; content_metrics.non_follower_views (content.tsx:682,1781-1788)</t>
        </is>
      </c>
      <c r="G92" s="26" t="inlineStr">
        <is>
          <t>None — snapshot of current row/record state, not time-windowed</t>
        </is>
      </c>
      <c r="H92" s="27" t="inlineStr">
        <is>
          <t>LIVE</t>
        </is>
      </c>
      <c r="I92" s="28" t="inlineStr">
        <is>
          <t>CONT-0509</t>
        </is>
      </c>
    </row>
    <row r="93" ht="30" customHeight="1">
      <c r="A93" s="29" t="inlineStr">
        <is>
          <t>Followers gained</t>
        </is>
      </c>
      <c r="B93" s="37" t="n"/>
      <c r="C93" s="31" t="inlineStr">
        <is>
          <t>count</t>
        </is>
      </c>
      <c r="D93" s="31" t="inlineStr">
        <is>
          <t>RAW</t>
        </is>
      </c>
      <c r="E93" s="32" t="inlineStr">
        <is>
          <t>N/A</t>
        </is>
      </c>
      <c r="F93" s="32" t="inlineStr">
        <is>
          <t>form "followers_gained" -&gt; content_metrics.followers_gained (content.tsx:683,1790-1797)</t>
        </is>
      </c>
      <c r="G93" s="32" t="inlineStr">
        <is>
          <t>None — snapshot of current row/record state, not time-windowed</t>
        </is>
      </c>
      <c r="H93" s="27" t="inlineStr">
        <is>
          <t>LIVE</t>
        </is>
      </c>
      <c r="I93" s="33" t="inlineStr">
        <is>
          <t>CONT-0510</t>
        </is>
      </c>
    </row>
    <row r="94" ht="30" customHeight="1">
      <c r="A94" s="23" t="inlineStr">
        <is>
          <t>Profile visits</t>
        </is>
      </c>
      <c r="B94" s="37" t="n"/>
      <c r="C94" s="25" t="inlineStr">
        <is>
          <t>count</t>
        </is>
      </c>
      <c r="D94" s="25" t="inlineStr">
        <is>
          <t>RAW</t>
        </is>
      </c>
      <c r="E94" s="26" t="inlineStr">
        <is>
          <t>N/A</t>
        </is>
      </c>
      <c r="F94" s="26" t="inlineStr">
        <is>
          <t>form "profile_visits" -&gt; content_metrics.profile_visits (content.tsx:684,1799-1806)</t>
        </is>
      </c>
      <c r="G94" s="26" t="inlineStr">
        <is>
          <t>None — snapshot of current row/record state, not time-windowed</t>
        </is>
      </c>
      <c r="H94" s="27" t="inlineStr">
        <is>
          <t>LIVE</t>
        </is>
      </c>
      <c r="I94" s="28" t="inlineStr">
        <is>
          <t>CONT-0511</t>
        </is>
      </c>
    </row>
    <row r="95" ht="30" customHeight="1">
      <c r="A95" s="29" t="inlineStr">
        <is>
          <t>DMs generated</t>
        </is>
      </c>
      <c r="B95" s="37" t="n"/>
      <c r="C95" s="31" t="inlineStr">
        <is>
          <t>count</t>
        </is>
      </c>
      <c r="D95" s="31" t="inlineStr">
        <is>
          <t>RAW</t>
        </is>
      </c>
      <c r="E95" s="32" t="inlineStr">
        <is>
          <t>N/A — manual entry, a count not a %</t>
        </is>
      </c>
      <c r="F95" s="32" t="inlineStr">
        <is>
          <t>form "dms_generated" -&gt; content_metrics.dms_generated (content.tsx:685,1808-1815)</t>
        </is>
      </c>
      <c r="G95" s="32" t="inlineStr">
        <is>
          <t>None — snapshot of current row/record state, not time-windowed</t>
        </is>
      </c>
      <c r="H95" s="27" t="inlineStr">
        <is>
          <t>LIVE</t>
        </is>
      </c>
      <c r="I95" s="33" t="inlineStr">
        <is>
          <t>CONT-0512</t>
        </is>
      </c>
    </row>
    <row r="96" ht="30" customHeight="1">
      <c r="A96" s="23" t="inlineStr">
        <is>
          <t>Calls booked</t>
        </is>
      </c>
      <c r="B96" s="37" t="n"/>
      <c r="C96" s="25" t="inlineStr">
        <is>
          <t>count</t>
        </is>
      </c>
      <c r="D96" s="25" t="inlineStr">
        <is>
          <t>RAW</t>
        </is>
      </c>
      <c r="E96" s="26" t="inlineStr">
        <is>
          <t>N/A</t>
        </is>
      </c>
      <c r="F96" s="26" t="inlineStr">
        <is>
          <t>form "calls_booked" -&gt; content_metrics.calls_booked (content.tsx:686,1817-1824)</t>
        </is>
      </c>
      <c r="G96" s="26" t="inlineStr">
        <is>
          <t>None — snapshot of current row/record state, not time-windowed</t>
        </is>
      </c>
      <c r="H96" s="27" t="inlineStr">
        <is>
          <t>LIVE</t>
        </is>
      </c>
      <c r="I96" s="28" t="inlineStr">
        <is>
          <t>CONT-0513</t>
        </is>
      </c>
    </row>
    <row r="97" ht="30" customHeight="1">
      <c r="A97" s="29" t="inlineStr">
        <is>
          <t>Engagement rate %</t>
        </is>
      </c>
      <c r="B97" s="39" t="n"/>
      <c r="C97" s="31" t="inlineStr">
        <is>
          <t>%</t>
        </is>
      </c>
      <c r="D97" s="31" t="inlineStr">
        <is>
          <t>RAW</t>
        </is>
      </c>
      <c r="E97" s="32" t="inlineStr">
        <is>
          <t>N/A — manually typed, NOT auto-computed from likes/comments/saves/shares/views despite the KPI row computing an equivalent metric itself</t>
        </is>
      </c>
      <c r="F97" s="32" t="inlineStr">
        <is>
          <t>form "engagement_rate_pct" -&gt; content_metrics.engagement_rate_pct (content.tsx:687,1826-1835)</t>
        </is>
      </c>
      <c r="G97" s="32" t="inlineStr">
        <is>
          <t>None — snapshot of current row/record state, not time-windowed</t>
        </is>
      </c>
      <c r="H97" s="27" t="inlineStr">
        <is>
          <t>LIVE</t>
        </is>
      </c>
      <c r="I97" s="33" t="inlineStr">
        <is>
          <t>CONT-0514</t>
        </is>
      </c>
    </row>
    <row r="98" ht="30" customHeight="1">
      <c r="A98" s="23" t="inlineStr">
        <is>
          <t>CTA conversion %</t>
        </is>
      </c>
      <c r="B98" s="39" t="n"/>
      <c r="C98" s="25" t="inlineStr">
        <is>
          <t>%</t>
        </is>
      </c>
      <c r="D98" s="25" t="inlineStr">
        <is>
          <t>RAW</t>
        </is>
      </c>
      <c r="E98" s="26" t="inlineStr">
        <is>
          <t>N/A — manual entry</t>
        </is>
      </c>
      <c r="F98" s="26" t="inlineStr">
        <is>
          <t>form "cta_conversion_pct" -&gt; content_metrics.cta_conversion_pct (content.tsx:689,1837-1846)</t>
        </is>
      </c>
      <c r="G98" s="26" t="inlineStr">
        <is>
          <t>None — snapshot of current row/record state, not time-windowed</t>
        </is>
      </c>
      <c r="H98" s="27" t="inlineStr">
        <is>
          <t>LIVE</t>
        </is>
      </c>
      <c r="I98" s="28" t="inlineStr">
        <is>
          <t>CONT-0515</t>
        </is>
      </c>
    </row>
    <row r="99" ht="6" customHeight="1"/>
    <row r="100" ht="20" customHeight="1">
      <c r="A100" s="22" t="inlineStr">
        <is>
          <t>SLIDES PANEL</t>
        </is>
      </c>
    </row>
    <row r="101" ht="30" customHeight="1">
      <c r="A101" s="29" t="inlineStr">
        <is>
          <t>Views</t>
        </is>
      </c>
      <c r="B101" s="37" t="n"/>
      <c r="C101" s="31" t="inlineStr">
        <is>
          <t>count</t>
        </is>
      </c>
      <c r="D101" s="31" t="inlineStr">
        <is>
          <t>RAW</t>
        </is>
      </c>
      <c r="E101" s="32" t="inlineStr">
        <is>
          <t>N/A (manual entry)</t>
        </is>
      </c>
      <c r="F101" s="32" t="inlineStr">
        <is>
          <t>slide_metrics.views, written via the "Add slide" form (content.tsx:1895-1904, form input at 1977)</t>
        </is>
      </c>
      <c r="G101" s="32" t="inlineStr">
        <is>
          <t>None — snapshot of current row/record state, not time-windowed</t>
        </is>
      </c>
      <c r="H101" s="27" t="inlineStr">
        <is>
          <t>LIVE</t>
        </is>
      </c>
      <c r="I101" s="33" t="inlineStr">
        <is>
          <t>CONT-0516</t>
        </is>
      </c>
    </row>
    <row r="102" ht="30" customHeight="1">
      <c r="A102" s="23" t="inlineStr">
        <is>
          <t>Exits per slide</t>
        </is>
      </c>
      <c r="B102" s="37" t="n"/>
      <c r="C102" s="25" t="inlineStr">
        <is>
          <t>count (raw exits) and % (derived dropoff)</t>
        </is>
      </c>
      <c r="D102" s="25" t="inlineStr">
        <is>
          <t>RAW+DERIVED</t>
        </is>
      </c>
      <c r="E102" s="26" t="inlineStr">
        <is>
          <t>dropoff = round(exits / views * 100)</t>
        </is>
      </c>
      <c r="F102" s="26" t="inlineStr">
        <is>
          <t>slide_metrics.exits (raw, manual entry, content.tsx:1899,1978); dropoff % is derived client-side: exits/views*100 (content.tsx:1940)</t>
        </is>
      </c>
      <c r="G102" s="26" t="inlineStr">
        <is>
          <t>None — snapshot of current row/record state, not time-windowed</t>
        </is>
      </c>
      <c r="H102" s="27" t="inlineStr">
        <is>
          <t>LIVE</t>
        </is>
      </c>
      <c r="I102" s="28" t="inlineStr">
        <is>
          <t>CONT-0517</t>
        </is>
      </c>
    </row>
    <row r="103" ht="6" customHeight="1"/>
    <row r="104" ht="20" customHeight="1">
      <c r="A104" s="22" t="inlineStr">
        <is>
          <t>OVERVIEW DIALOG</t>
        </is>
      </c>
    </row>
    <row r="105" ht="30" customHeight="1">
      <c r="A105" s="29" t="inlineStr">
        <is>
          <t>Views</t>
        </is>
      </c>
      <c r="B105" s="37" t="n"/>
      <c r="C105" s="31" t="inlineStr">
        <is>
          <t>count</t>
        </is>
      </c>
      <c r="D105" s="31" t="inlineStr">
        <is>
          <t>RAW</t>
        </is>
      </c>
      <c r="E105" s="32" t="inlineStr">
        <is>
          <t>N/A</t>
        </is>
      </c>
      <c r="F105" s="32" t="inlineStr">
        <is>
          <t>content_metrics.views (content.tsx:2085)</t>
        </is>
      </c>
      <c r="G105" s="32" t="inlineStr">
        <is>
          <t>None — all rows for the org, no date filter in the query</t>
        </is>
      </c>
      <c r="H105" s="27" t="inlineStr">
        <is>
          <t>LIVE</t>
        </is>
      </c>
      <c r="I105" s="33" t="inlineStr">
        <is>
          <t>CONT-0518</t>
        </is>
      </c>
    </row>
    <row r="106" ht="30" customHeight="1">
      <c r="A106" s="23" t="inlineStr">
        <is>
          <t>Leads</t>
        </is>
      </c>
      <c r="B106" s="37" t="n"/>
      <c r="C106" s="25" t="inlineStr">
        <is>
          <t>count</t>
        </is>
      </c>
      <c r="D106" s="25" t="inlineStr">
        <is>
          <t>RAW</t>
        </is>
      </c>
      <c r="E106" s="26" t="inlineStr">
        <is>
          <t>N/A</t>
        </is>
      </c>
      <c r="F106" s="26" t="inlineStr">
        <is>
          <t>content_metrics.leads_generated (content.tsx:2086)</t>
        </is>
      </c>
      <c r="G106" s="26" t="inlineStr">
        <is>
          <t>None — all rows for the org, no date filter in the query</t>
        </is>
      </c>
      <c r="H106" s="27" t="inlineStr">
        <is>
          <t>LIVE</t>
        </is>
      </c>
      <c r="I106" s="28" t="inlineStr">
        <is>
          <t>CONT-0519</t>
        </is>
      </c>
    </row>
    <row r="107" ht="30" customHeight="1">
      <c r="A107" s="29" t="inlineStr">
        <is>
          <t>Closes</t>
        </is>
      </c>
      <c r="B107" s="30" t="inlineStr">
        <is>
          <t>n/a</t>
        </is>
      </c>
      <c r="C107" s="31" t="inlineStr">
        <is>
          <t>count</t>
        </is>
      </c>
      <c r="D107" s="31" t="inlineStr">
        <is>
          <t>OTHER</t>
        </is>
      </c>
      <c r="E107" s="32" t="inlineStr">
        <is>
          <t>None — content_metrics.closes has no write path</t>
        </is>
      </c>
      <c r="F107" s="32" t="inlineStr">
        <is>
          <t>Hardcoded "Not tracked" (content.tsx:2090)</t>
        </is>
      </c>
      <c r="G107" s="32" t="inlineStr">
        <is>
          <t>N/A</t>
        </is>
      </c>
      <c r="H107" s="36" t="inlineStr">
        <is>
          <t>PLACEHOLDER</t>
        </is>
      </c>
      <c r="I107" s="33" t="inlineStr">
        <is>
          <t>CONT-0520</t>
        </is>
      </c>
    </row>
    <row r="108" ht="30" customHeight="1">
      <c r="A108" s="23" t="inlineStr">
        <is>
          <t>Cash</t>
        </is>
      </c>
      <c r="B108" s="24" t="inlineStr">
        <is>
          <t>n/a</t>
        </is>
      </c>
      <c r="C108" s="25" t="inlineStr">
        <is>
          <t>$</t>
        </is>
      </c>
      <c r="D108" s="25" t="inlineStr">
        <is>
          <t>OTHER</t>
        </is>
      </c>
      <c r="E108" s="26" t="inlineStr">
        <is>
          <t>None — content_metrics.cash_collected_cents has no write path</t>
        </is>
      </c>
      <c r="F108" s="26" t="inlineStr">
        <is>
          <t>Hardcoded "Not tracked" (content.tsx:2091)</t>
        </is>
      </c>
      <c r="G108" s="26" t="inlineStr">
        <is>
          <t>N/A</t>
        </is>
      </c>
      <c r="H108" s="36" t="inlineStr">
        <is>
          <t>PLACEHOLDER</t>
        </is>
      </c>
      <c r="I108" s="28" t="inlineStr">
        <is>
          <t>CONT-0521</t>
        </is>
      </c>
    </row>
    <row r="109" ht="30" customHeight="1">
      <c r="A109" s="29" t="inlineStr">
        <is>
          <t>Retention</t>
        </is>
      </c>
      <c r="B109" s="39" t="n"/>
      <c r="C109" s="31" t="inlineStr">
        <is>
          <t>%</t>
        </is>
      </c>
      <c r="D109" s="31" t="inlineStr">
        <is>
          <t>RAW</t>
        </is>
      </c>
      <c r="E109" s="32" t="inlineStr">
        <is>
          <t>N/A</t>
        </is>
      </c>
      <c r="F109" s="32" t="inlineStr">
        <is>
          <t>content_metrics.hook_retention_pct (content.tsx:2092)</t>
        </is>
      </c>
      <c r="G109" s="32" t="inlineStr">
        <is>
          <t>None — all rows for the org, no date filter in the query</t>
        </is>
      </c>
      <c r="H109" s="27" t="inlineStr">
        <is>
          <t>LIVE</t>
        </is>
      </c>
      <c r="I109" s="33" t="inlineStr">
        <is>
          <t>CONT-0522</t>
        </is>
      </c>
    </row>
    <row r="110" ht="30" customHeight="1">
      <c r="A110" s="23" t="inlineStr">
        <is>
          <t>Likes</t>
        </is>
      </c>
      <c r="B110" s="37" t="n"/>
      <c r="C110" s="25" t="inlineStr">
        <is>
          <t>count</t>
        </is>
      </c>
      <c r="D110" s="25" t="inlineStr">
        <is>
          <t>RAW</t>
        </is>
      </c>
      <c r="E110" s="26" t="inlineStr">
        <is>
          <t>N/A</t>
        </is>
      </c>
      <c r="F110" s="26" t="inlineStr">
        <is>
          <t>content_metrics.likes (content.tsx:2103)</t>
        </is>
      </c>
      <c r="G110" s="26" t="inlineStr">
        <is>
          <t>None — all rows for the org, no date filter in the query</t>
        </is>
      </c>
      <c r="H110" s="27" t="inlineStr">
        <is>
          <t>LIVE</t>
        </is>
      </c>
      <c r="I110" s="28" t="inlineStr">
        <is>
          <t>CONT-0523</t>
        </is>
      </c>
    </row>
    <row r="111" ht="30" customHeight="1">
      <c r="A111" s="29" t="inlineStr">
        <is>
          <t>Comments</t>
        </is>
      </c>
      <c r="B111" s="37" t="n"/>
      <c r="C111" s="31" t="inlineStr">
        <is>
          <t>count</t>
        </is>
      </c>
      <c r="D111" s="31" t="inlineStr">
        <is>
          <t>RAW</t>
        </is>
      </c>
      <c r="E111" s="32" t="inlineStr">
        <is>
          <t>N/A</t>
        </is>
      </c>
      <c r="F111" s="32" t="inlineStr">
        <is>
          <t>content_metrics.comments (content.tsx:2104)</t>
        </is>
      </c>
      <c r="G111" s="32" t="inlineStr">
        <is>
          <t>None — all rows for the org, no date filter in the query</t>
        </is>
      </c>
      <c r="H111" s="27" t="inlineStr">
        <is>
          <t>LIVE</t>
        </is>
      </c>
      <c r="I111" s="33" t="inlineStr">
        <is>
          <t>CONT-0524</t>
        </is>
      </c>
    </row>
    <row r="112" ht="30" customHeight="1">
      <c r="A112" s="23" t="inlineStr">
        <is>
          <t>Shares</t>
        </is>
      </c>
      <c r="B112" s="37" t="n"/>
      <c r="C112" s="25" t="inlineStr">
        <is>
          <t>count</t>
        </is>
      </c>
      <c r="D112" s="25" t="inlineStr">
        <is>
          <t>RAW</t>
        </is>
      </c>
      <c r="E112" s="26" t="inlineStr">
        <is>
          <t>N/A</t>
        </is>
      </c>
      <c r="F112" s="26" t="inlineStr">
        <is>
          <t>content_metrics.shares (content.tsx:2105)</t>
        </is>
      </c>
      <c r="G112" s="26" t="inlineStr">
        <is>
          <t>None — all rows for the org, no date filter in the query</t>
        </is>
      </c>
      <c r="H112" s="27" t="inlineStr">
        <is>
          <t>LIVE</t>
        </is>
      </c>
      <c r="I112" s="28" t="inlineStr">
        <is>
          <t>CONT-0525</t>
        </is>
      </c>
    </row>
    <row r="113" ht="30" customHeight="1">
      <c r="A113" s="29" t="inlineStr">
        <is>
          <t>Saves</t>
        </is>
      </c>
      <c r="B113" s="37" t="n"/>
      <c r="C113" s="31" t="inlineStr">
        <is>
          <t>count</t>
        </is>
      </c>
      <c r="D113" s="31" t="inlineStr">
        <is>
          <t>RAW</t>
        </is>
      </c>
      <c r="E113" s="32" t="inlineStr">
        <is>
          <t>N/A</t>
        </is>
      </c>
      <c r="F113" s="32" t="inlineStr">
        <is>
          <t>content_metrics.saves (content.tsx:2106)</t>
        </is>
      </c>
      <c r="G113" s="32" t="inlineStr">
        <is>
          <t>None — all rows for the org, no date filter in the query</t>
        </is>
      </c>
      <c r="H113" s="27" t="inlineStr">
        <is>
          <t>LIVE</t>
        </is>
      </c>
      <c r="I113" s="33" t="inlineStr">
        <is>
          <t>CONT-0526</t>
        </is>
      </c>
    </row>
    <row r="114" ht="30" customHeight="1">
      <c r="A114" s="23" t="inlineStr">
        <is>
          <t>Follower views</t>
        </is>
      </c>
      <c r="B114" s="37" t="n"/>
      <c r="C114" s="25" t="inlineStr">
        <is>
          <t>count</t>
        </is>
      </c>
      <c r="D114" s="25" t="inlineStr">
        <is>
          <t>RAW</t>
        </is>
      </c>
      <c r="E114" s="26" t="inlineStr">
        <is>
          <t>N/A</t>
        </is>
      </c>
      <c r="F114" s="26" t="inlineStr">
        <is>
          <t>content_metrics.follower_views (content.tsx:2107)</t>
        </is>
      </c>
      <c r="G114" s="26" t="inlineStr">
        <is>
          <t>None — all rows for the org, no date filter in the query</t>
        </is>
      </c>
      <c r="H114" s="27" t="inlineStr">
        <is>
          <t>LIVE</t>
        </is>
      </c>
      <c r="I114" s="28" t="inlineStr">
        <is>
          <t>CONT-0527</t>
        </is>
      </c>
    </row>
    <row r="115" ht="30" customHeight="1">
      <c r="A115" s="29" t="inlineStr">
        <is>
          <t>Non-follower views</t>
        </is>
      </c>
      <c r="B115" s="37" t="n"/>
      <c r="C115" s="31" t="inlineStr">
        <is>
          <t>count</t>
        </is>
      </c>
      <c r="D115" s="31" t="inlineStr">
        <is>
          <t>RAW</t>
        </is>
      </c>
      <c r="E115" s="32" t="inlineStr">
        <is>
          <t>N/A</t>
        </is>
      </c>
      <c r="F115" s="32" t="inlineStr">
        <is>
          <t>content_metrics.non_follower_views (content.tsx:2108)</t>
        </is>
      </c>
      <c r="G115" s="32" t="inlineStr">
        <is>
          <t>None — all rows for the org, no date filter in the query</t>
        </is>
      </c>
      <c r="H115" s="27" t="inlineStr">
        <is>
          <t>LIVE</t>
        </is>
      </c>
      <c r="I115" s="33" t="inlineStr">
        <is>
          <t>CONT-0528</t>
        </is>
      </c>
    </row>
    <row r="116" ht="30" customHeight="1">
      <c r="A116" s="23" t="inlineStr">
        <is>
          <t>Engagement rate</t>
        </is>
      </c>
      <c r="B116" s="39" t="n"/>
      <c r="C116" s="25" t="inlineStr">
        <is>
          <t>%</t>
        </is>
      </c>
      <c r="D116" s="25" t="inlineStr">
        <is>
          <t>RAW</t>
        </is>
      </c>
      <c r="E116" s="26" t="inlineStr">
        <is>
          <t>N/A — displays the manually-typed value, not a recomputation</t>
        </is>
      </c>
      <c r="F116" s="26" t="inlineStr">
        <is>
          <t>content_metrics.engagement_rate_pct (content.tsx:2109)</t>
        </is>
      </c>
      <c r="G116" s="26" t="inlineStr">
        <is>
          <t>None — all rows for the org, no date filter in the query</t>
        </is>
      </c>
      <c r="H116" s="27" t="inlineStr">
        <is>
          <t>LIVE</t>
        </is>
      </c>
      <c r="I116" s="28" t="inlineStr">
        <is>
          <t>CONT-0529</t>
        </is>
      </c>
    </row>
    <row r="117" ht="30" customHeight="1">
      <c r="A117" s="29" t="inlineStr">
        <is>
          <t>Drop-off rate</t>
        </is>
      </c>
      <c r="B117" s="39" t="n"/>
      <c r="C117" s="31" t="inlineStr">
        <is>
          <t>%</t>
        </is>
      </c>
      <c r="D117" s="31" t="inlineStr">
        <is>
          <t>RAW</t>
        </is>
      </c>
      <c r="E117" s="32" t="inlineStr">
        <is>
          <t>N/A</t>
        </is>
      </c>
      <c r="F117" s="32" t="inlineStr">
        <is>
          <t>content_metrics.drop_off_rate_pct (content.tsx:2110)</t>
        </is>
      </c>
      <c r="G117" s="32" t="inlineStr">
        <is>
          <t>None — all rows for the org, no date filter in the query</t>
        </is>
      </c>
      <c r="H117" s="27" t="inlineStr">
        <is>
          <t>LIVE</t>
        </is>
      </c>
      <c r="I117" s="33" t="inlineStr">
        <is>
          <t>CONT-0530</t>
        </is>
      </c>
    </row>
    <row r="118" ht="6" customHeight="1"/>
  </sheetData>
  <autoFilter ref="A4:I117"/>
  <mergeCells count="11">
    <mergeCell ref="A104:I104"/>
    <mergeCell ref="A59:I59"/>
    <mergeCell ref="A65:I65"/>
    <mergeCell ref="A28:I28"/>
    <mergeCell ref="A5:I5"/>
    <mergeCell ref="A77:I77"/>
    <mergeCell ref="A13:I13"/>
    <mergeCell ref="A23:I23"/>
    <mergeCell ref="A31:I31"/>
    <mergeCell ref="A39:I39"/>
    <mergeCell ref="A100:I10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ContentOS &gt; Content Calendar</t>
        </is>
      </c>
    </row>
    <row r="2">
      <c r="A2" s="21" t="inlineStr">
        <is>
          <t>15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HERO</t>
        </is>
      </c>
    </row>
    <row r="6" ht="30" customHeight="1">
      <c r="A6" s="23" t="inlineStr">
        <is>
          <t>Scheduled this month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count(content_pieces where scheduled_date is in the visible month)</t>
        </is>
      </c>
      <c r="F6" s="26" t="inlineStr">
        <is>
          <t>monthPieces.length (content-calendar.tsx:390), monthPieces = pieces filtered client-side to the visible calendar month (content-calendar.tsx:366-368)</t>
        </is>
      </c>
      <c r="G6" s="26" t="inlineStr">
        <is>
          <t>Current calendar month shown in the client-side month cursor (all-time underlying data, just filtered to the visible month)</t>
        </is>
      </c>
      <c r="H6" s="27" t="inlineStr">
        <is>
          <t>LIVE</t>
        </is>
      </c>
      <c r="I6" s="28" t="inlineStr">
        <is>
          <t>CONT-0531</t>
        </is>
      </c>
    </row>
    <row r="7" ht="30" customHeight="1">
      <c r="A7" s="29" t="inlineStr">
        <is>
          <t>Ready to post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N/A</t>
        </is>
      </c>
      <c r="F7" s="32" t="inlineStr">
        <is>
          <t>monthPieces.filter(pipeline_status==='ready_to_post').length (content-calendar.tsx:391)</t>
        </is>
      </c>
      <c r="G7" s="32" t="inlineStr">
        <is>
          <t>Current calendar month shown in the client-side month cursor (all-time underlying data, just filtered to the visible month)</t>
        </is>
      </c>
      <c r="H7" s="27" t="inlineStr">
        <is>
          <t>LIVE</t>
        </is>
      </c>
      <c r="I7" s="33" t="inlineStr">
        <is>
          <t>CONT-0532</t>
        </is>
      </c>
    </row>
    <row r="8" ht="30" customHeight="1">
      <c r="A8" s="23" t="inlineStr">
        <is>
          <t>Already posted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N/A</t>
        </is>
      </c>
      <c r="F8" s="26" t="inlineStr">
        <is>
          <t>monthPieces.filter(pipeline_status==='posted').length (content-calendar.tsx:392)</t>
        </is>
      </c>
      <c r="G8" s="26" t="inlineStr">
        <is>
          <t>Current calendar month shown in the client-side month cursor (all-time underlying data, just filtered to the visible month)</t>
        </is>
      </c>
      <c r="H8" s="27" t="inlineStr">
        <is>
          <t>LIVE</t>
        </is>
      </c>
      <c r="I8" s="28" t="inlineStr">
        <is>
          <t>CONT-0533</t>
        </is>
      </c>
    </row>
    <row r="9" ht="30" customHeight="1">
      <c r="A9" s="29" t="inlineStr">
        <is>
          <t>Long-form Queued</t>
        </is>
      </c>
      <c r="B9" s="37" t="n"/>
      <c r="C9" s="31" t="inlineStr">
        <is>
          <t>count</t>
        </is>
      </c>
      <c r="D9" s="31" t="inlineStr">
        <is>
          <t>AGGREGATED</t>
        </is>
      </c>
      <c r="E9" s="32" t="inlineStr">
        <is>
          <t>count(monthPieces where post_format in ('long_form','long_to_short'))</t>
        </is>
      </c>
      <c r="F9" s="32" t="inlineStr">
        <is>
          <t>content-calendar.tsx:406-412</t>
        </is>
      </c>
      <c r="G9" s="32" t="inlineStr">
        <is>
          <t>Current calendar month shown in the client-side month cursor (all-time underlying data, just filtered to the visible month)</t>
        </is>
      </c>
      <c r="H9" s="27" t="inlineStr">
        <is>
          <t>LIVE</t>
        </is>
      </c>
      <c r="I9" s="33" t="inlineStr">
        <is>
          <t>CONT-0534</t>
        </is>
      </c>
    </row>
    <row r="10" ht="6" customHeight="1"/>
    <row r="11" ht="20" customHeight="1">
      <c r="A11" s="22" t="inlineStr">
        <is>
          <t>FORMAT LEGEND</t>
        </is>
      </c>
    </row>
    <row r="12" ht="30" customHeight="1">
      <c r="A12" s="23" t="inlineStr">
        <is>
          <t>Short-form</t>
        </is>
      </c>
      <c r="B12" s="24" t="inlineStr">
        <is>
          <t>n/a</t>
        </is>
      </c>
      <c r="C12" s="25" t="inlineStr">
        <is>
          <t>text (color-coded label)</t>
        </is>
      </c>
      <c r="D12" s="25" t="inlineStr">
        <is>
          <t>DIMENSION</t>
        </is>
      </c>
      <c r="E12" s="26" t="inlineStr">
        <is>
          <t>N/A — static legend, not a count</t>
        </is>
      </c>
      <c r="F12" s="26" t="inlineStr">
        <is>
          <t>FORMAT_LABEL['short_form'] static legend chip (content-calendar.tsx:89-96,466-472), color-keyed via FMT_TONE (content-calendar.tsx:75-88)</t>
        </is>
      </c>
      <c r="G12" s="26" t="inlineStr">
        <is>
          <t>N/A</t>
        </is>
      </c>
      <c r="H12" s="27" t="inlineStr">
        <is>
          <t>LIVE</t>
        </is>
      </c>
      <c r="I12" s="28" t="inlineStr">
        <is>
          <t>CONT-0535</t>
        </is>
      </c>
    </row>
    <row r="13" ht="30" customHeight="1">
      <c r="A13" s="29" t="inlineStr">
        <is>
          <t>Long-form</t>
        </is>
      </c>
      <c r="B13" s="30" t="inlineStr">
        <is>
          <t>n/a</t>
        </is>
      </c>
      <c r="C13" s="31" t="inlineStr">
        <is>
          <t>text</t>
        </is>
      </c>
      <c r="D13" s="31" t="inlineStr">
        <is>
          <t>DIMENSION</t>
        </is>
      </c>
      <c r="E13" s="32" t="inlineStr">
        <is>
          <t>N/A</t>
        </is>
      </c>
      <c r="F13" s="32" t="inlineStr">
        <is>
          <t>FORMAT_LABEL['long_form'] (content-calendar.tsx:91)</t>
        </is>
      </c>
      <c r="G13" s="32" t="inlineStr">
        <is>
          <t>N/A</t>
        </is>
      </c>
      <c r="H13" s="27" t="inlineStr">
        <is>
          <t>LIVE</t>
        </is>
      </c>
      <c r="I13" s="33" t="inlineStr">
        <is>
          <t>CONT-0536</t>
        </is>
      </c>
    </row>
    <row r="14" ht="30" customHeight="1">
      <c r="A14" s="23" t="inlineStr">
        <is>
          <t>Long-form -&gt; clips</t>
        </is>
      </c>
      <c r="B14" s="24" t="inlineStr">
        <is>
          <t>n/a</t>
        </is>
      </c>
      <c r="C14" s="25" t="inlineStr">
        <is>
          <t>text</t>
        </is>
      </c>
      <c r="D14" s="25" t="inlineStr">
        <is>
          <t>DIMENSION</t>
        </is>
      </c>
      <c r="E14" s="26" t="inlineStr">
        <is>
          <t>N/A</t>
        </is>
      </c>
      <c r="F14" s="26" t="inlineStr">
        <is>
          <t>FORMAT_LABEL['long_to_short'] (content-calendar.tsx:92)</t>
        </is>
      </c>
      <c r="G14" s="26" t="inlineStr">
        <is>
          <t>N/A</t>
        </is>
      </c>
      <c r="H14" s="27" t="inlineStr">
        <is>
          <t>LIVE</t>
        </is>
      </c>
      <c r="I14" s="28" t="inlineStr">
        <is>
          <t>CONT-0537</t>
        </is>
      </c>
    </row>
    <row r="15" ht="30" customHeight="1">
      <c r="A15" s="29" t="inlineStr">
        <is>
          <t>Story sequence</t>
        </is>
      </c>
      <c r="B15" s="30" t="inlineStr">
        <is>
          <t>n/a</t>
        </is>
      </c>
      <c r="C15" s="31" t="inlineStr">
        <is>
          <t>text</t>
        </is>
      </c>
      <c r="D15" s="31" t="inlineStr">
        <is>
          <t>DIMENSION</t>
        </is>
      </c>
      <c r="E15" s="32" t="inlineStr">
        <is>
          <t>N/A</t>
        </is>
      </c>
      <c r="F15" s="32" t="inlineStr">
        <is>
          <t>FORMAT_LABEL['story'] (content-calendar.tsx:93)</t>
        </is>
      </c>
      <c r="G15" s="32" t="inlineStr">
        <is>
          <t>N/A</t>
        </is>
      </c>
      <c r="H15" s="27" t="inlineStr">
        <is>
          <t>LIVE</t>
        </is>
      </c>
      <c r="I15" s="33" t="inlineStr">
        <is>
          <t>CONT-0538</t>
        </is>
      </c>
    </row>
    <row r="16" ht="30" customHeight="1">
      <c r="A16" s="23" t="inlineStr">
        <is>
          <t>Carousel</t>
        </is>
      </c>
      <c r="B16" s="24" t="inlineStr">
        <is>
          <t>n/a</t>
        </is>
      </c>
      <c r="C16" s="25" t="inlineStr">
        <is>
          <t>text</t>
        </is>
      </c>
      <c r="D16" s="25" t="inlineStr">
        <is>
          <t>DIMENSION</t>
        </is>
      </c>
      <c r="E16" s="26" t="inlineStr">
        <is>
          <t>N/A</t>
        </is>
      </c>
      <c r="F16" s="26" t="inlineStr">
        <is>
          <t>FORMAT_LABEL['carousel'] (content-calendar.tsx:94)</t>
        </is>
      </c>
      <c r="G16" s="26" t="inlineStr">
        <is>
          <t>N/A</t>
        </is>
      </c>
      <c r="H16" s="27" t="inlineStr">
        <is>
          <t>LIVE</t>
        </is>
      </c>
      <c r="I16" s="28" t="inlineStr">
        <is>
          <t>CONT-0539</t>
        </is>
      </c>
    </row>
    <row r="17" ht="30" customHeight="1">
      <c r="A17" s="29" t="inlineStr">
        <is>
          <t>Email/SMS</t>
        </is>
      </c>
      <c r="B17" s="30" t="inlineStr">
        <is>
          <t>n/a</t>
        </is>
      </c>
      <c r="C17" s="31" t="inlineStr">
        <is>
          <t>text</t>
        </is>
      </c>
      <c r="D17" s="31" t="inlineStr">
        <is>
          <t>DIMENSION</t>
        </is>
      </c>
      <c r="E17" s="32" t="inlineStr">
        <is>
          <t>N/A</t>
        </is>
      </c>
      <c r="F17" s="32" t="inlineStr">
        <is>
          <t>FORMAT_LABEL['email'] (content-calendar.tsx:95)</t>
        </is>
      </c>
      <c r="G17" s="32" t="inlineStr">
        <is>
          <t>N/A</t>
        </is>
      </c>
      <c r="H17" s="27" t="inlineStr">
        <is>
          <t>LIVE</t>
        </is>
      </c>
      <c r="I17" s="33" t="inlineStr">
        <is>
          <t>CONT-0540</t>
        </is>
      </c>
    </row>
    <row r="18" ht="6" customHeight="1"/>
    <row r="19" ht="20" customHeight="1">
      <c r="A19" s="22" t="inlineStr">
        <is>
          <t>CONTENT PIPELINE (ADMIN)</t>
        </is>
      </c>
    </row>
    <row r="20" ht="30" customHeight="1">
      <c r="A20" s="23" t="inlineStr">
        <is>
          <t>Draft</t>
        </is>
      </c>
      <c r="B20" s="37" t="n"/>
      <c r="C20" s="25" t="inlineStr">
        <is>
          <t>count</t>
        </is>
      </c>
      <c r="D20" s="25" t="inlineStr">
        <is>
          <t>AGGREGATED</t>
        </is>
      </c>
      <c r="E20" s="26" t="inlineStr">
        <is>
          <t>count(content_pieces where pipeline_status='draft' or null, org-wide, org-scoped by requirePipelineAccess())</t>
        </is>
      </c>
      <c r="F20" s="26" t="inlineStr">
        <is>
          <t>getContentPipeline() (content-pipeline.server.ts:55-70), called via contentPipelineFn (content-pipeline.functions.ts:8-13), rendered as kanban columns filtered by pipelinePieces.filter(p =&gt; p.pipeline_status===col.key) (content-calendar.tsx:602-621)</t>
        </is>
      </c>
      <c r="G20" s="26" t="inlineStr">
        <is>
          <t>None — all rows for the org, no date filter in the query</t>
        </is>
      </c>
      <c r="H20" s="27" t="inlineStr">
        <is>
          <t>LIVE</t>
        </is>
      </c>
      <c r="I20" s="28" t="inlineStr">
        <is>
          <t>CONT-0541</t>
        </is>
      </c>
    </row>
    <row r="21" ht="30" customHeight="1">
      <c r="A21" s="29" t="inlineStr">
        <is>
          <t>In Review</t>
        </is>
      </c>
      <c r="B21" s="37" t="n"/>
      <c r="C21" s="31" t="inlineStr">
        <is>
          <t>count</t>
        </is>
      </c>
      <c r="D21" s="31" t="inlineStr">
        <is>
          <t>AGGREGATED</t>
        </is>
      </c>
      <c r="E21" s="32" t="inlineStr">
        <is>
          <t>count(pipeline_status='in_review')</t>
        </is>
      </c>
      <c r="F21" s="32" t="inlineStr">
        <is>
          <t>getContentPipeline() (content-pipeline.server.ts:55-70), called via contentPipelineFn (content-pipeline.functions.ts:8-13), rendered as kanban columns filtered by pipelinePieces.filter(p =&gt; p.pipeline_status===col.key) (content-calendar.tsx:602-621)</t>
        </is>
      </c>
      <c r="G21" s="32" t="inlineStr">
        <is>
          <t>None — all rows for the org, no date filter in the query</t>
        </is>
      </c>
      <c r="H21" s="27" t="inlineStr">
        <is>
          <t>LIVE</t>
        </is>
      </c>
      <c r="I21" s="33" t="inlineStr">
        <is>
          <t>CONT-0542</t>
        </is>
      </c>
    </row>
    <row r="22" ht="30" customHeight="1">
      <c r="A22" s="23" t="inlineStr">
        <is>
          <t>Approved</t>
        </is>
      </c>
      <c r="B22" s="37" t="n"/>
      <c r="C22" s="25" t="inlineStr">
        <is>
          <t>count</t>
        </is>
      </c>
      <c r="D22" s="25" t="inlineStr">
        <is>
          <t>AGGREGATED</t>
        </is>
      </c>
      <c r="E22" s="26" t="inlineStr">
        <is>
          <t>count(pipeline_status='approved')</t>
        </is>
      </c>
      <c r="F22" s="26" t="inlineStr">
        <is>
          <t>getContentPipeline() (content-pipeline.server.ts:55-70), called via contentPipelineFn (content-pipeline.functions.ts:8-13), rendered as kanban columns filtered by pipelinePieces.filter(p =&gt; p.pipeline_status===col.key) (content-calendar.tsx:602-621)</t>
        </is>
      </c>
      <c r="G22" s="26" t="inlineStr">
        <is>
          <t>None — all rows for the org, no date filter in the query</t>
        </is>
      </c>
      <c r="H22" s="27" t="inlineStr">
        <is>
          <t>LIVE</t>
        </is>
      </c>
      <c r="I22" s="28" t="inlineStr">
        <is>
          <t>CONT-0543</t>
        </is>
      </c>
    </row>
    <row r="23" ht="30" customHeight="1">
      <c r="A23" s="29" t="inlineStr">
        <is>
          <t>Ready to Post</t>
        </is>
      </c>
      <c r="B23" s="37" t="n"/>
      <c r="C23" s="31" t="inlineStr">
        <is>
          <t>count</t>
        </is>
      </c>
      <c r="D23" s="31" t="inlineStr">
        <is>
          <t>AGGREGATED</t>
        </is>
      </c>
      <c r="E23" s="32" t="inlineStr">
        <is>
          <t>count(pipeline_status='ready_to_post')</t>
        </is>
      </c>
      <c r="F23" s="32" t="inlineStr">
        <is>
          <t>getContentPipeline() (content-pipeline.server.ts:55-70), called via contentPipelineFn (content-pipeline.functions.ts:8-13), rendered as kanban columns filtered by pipelinePieces.filter(p =&gt; p.pipeline_status===col.key) (content-calendar.tsx:602-621)</t>
        </is>
      </c>
      <c r="G23" s="32" t="inlineStr">
        <is>
          <t>None — all rows for the org, no date filter in the query</t>
        </is>
      </c>
      <c r="H23" s="27" t="inlineStr">
        <is>
          <t>LIVE</t>
        </is>
      </c>
      <c r="I23" s="33" t="inlineStr">
        <is>
          <t>CONT-0544</t>
        </is>
      </c>
    </row>
    <row r="24" ht="30" customHeight="1">
      <c r="A24" s="23" t="inlineStr">
        <is>
          <t>Posted (per-stage counts)</t>
        </is>
      </c>
      <c r="B24" s="37" t="n"/>
      <c r="C24" s="25" t="inlineStr">
        <is>
          <t>count</t>
        </is>
      </c>
      <c r="D24" s="25" t="inlineStr">
        <is>
          <t>AGGREGATED</t>
        </is>
      </c>
      <c r="E24" s="26" t="inlineStr">
        <is>
          <t>count(pipeline_status='posted')</t>
        </is>
      </c>
      <c r="F24" s="26" t="inlineStr">
        <is>
          <t>getContentPipeline() (content-pipeline.server.ts:55-70), called via contentPipelineFn (content-pipeline.functions.ts:8-13), rendered as kanban columns filtered by pipelinePieces.filter(p =&gt; p.pipeline_status===col.key) (content-calendar.tsx:602-621)</t>
        </is>
      </c>
      <c r="G24" s="26" t="inlineStr">
        <is>
          <t>None — all rows for the org, no date filter in the query</t>
        </is>
      </c>
      <c r="H24" s="27" t="inlineStr">
        <is>
          <t>LIVE</t>
        </is>
      </c>
      <c r="I24" s="28" t="inlineStr">
        <is>
          <t>CONT-0545</t>
        </is>
      </c>
    </row>
    <row r="25" ht="6" customHeight="1"/>
  </sheetData>
  <autoFilter ref="A4:I24"/>
  <mergeCells count="3">
    <mergeCell ref="A5:I5"/>
    <mergeCell ref="A19:I19"/>
    <mergeCell ref="A11:I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ContentOS &gt; Sequences</t>
        </is>
      </c>
    </row>
    <row r="2">
      <c r="A2" s="21" t="inlineStr">
        <is>
          <t>9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7-DAY TEMPLATES</t>
        </is>
      </c>
    </row>
    <row r="6" ht="30" customHeight="1">
      <c r="A6" s="23" t="inlineStr">
        <is>
          <t>Flexible/Any Sequence</t>
        </is>
      </c>
      <c r="B6" s="24" t="inlineStr">
        <is>
          <t>n/a</t>
        </is>
      </c>
      <c r="C6" s="25" t="inlineStr">
        <is>
          <t>N/A (template definition)</t>
        </is>
      </c>
      <c r="D6" s="25" t="inlineStr">
        <is>
          <t>OTHER</t>
        </is>
      </c>
      <c r="E6" s="26" t="inlineStr">
        <is>
          <t>N/A — static config, not a computed metric</t>
        </is>
      </c>
      <c r="F6" s="26" t="inlineStr">
        <is>
          <t>TEMPLATES constant array, src/routes/_authenticated.sequences.tsx:28-123 — hardcoded template definitions (day, title, subtitle, slide labels/hints), identical for every workspace (key='flexible', line 30-38)</t>
        </is>
      </c>
      <c r="G6" s="26" t="inlineStr">
        <is>
          <t>N/A</t>
        </is>
      </c>
      <c r="H6" s="27" t="inlineStr">
        <is>
          <t>LIVE</t>
        </is>
      </c>
      <c r="I6" s="28" t="inlineStr">
        <is>
          <t>CONT-0546</t>
        </is>
      </c>
    </row>
    <row r="7" ht="30" customHeight="1">
      <c r="A7" s="29" t="inlineStr">
        <is>
          <t>Story Poll Sequence #1</t>
        </is>
      </c>
      <c r="B7" s="30" t="inlineStr">
        <is>
          <t>n/a</t>
        </is>
      </c>
      <c r="C7" s="31" t="inlineStr">
        <is>
          <t>N/A</t>
        </is>
      </c>
      <c r="D7" s="31" t="inlineStr">
        <is>
          <t>OTHER</t>
        </is>
      </c>
      <c r="E7" s="32" t="inlineStr">
        <is>
          <t>N/A</t>
        </is>
      </c>
      <c r="F7" s="32" t="inlineStr">
        <is>
          <t>TEMPLATES constant array, src/routes/_authenticated.sequences.tsx:28-123 — hardcoded template definitions (day, title, subtitle, slide labels/hints), identical for every workspace (key='story_poll_1', line 39-51)</t>
        </is>
      </c>
      <c r="G7" s="32" t="inlineStr">
        <is>
          <t>N/A</t>
        </is>
      </c>
      <c r="H7" s="27" t="inlineStr">
        <is>
          <t>LIVE</t>
        </is>
      </c>
      <c r="I7" s="33" t="inlineStr">
        <is>
          <t>CONT-0547</t>
        </is>
      </c>
    </row>
    <row r="8" ht="30" customHeight="1">
      <c r="A8" s="23" t="inlineStr">
        <is>
          <t>Wins Nurturing Sequence</t>
        </is>
      </c>
      <c r="B8" s="24" t="inlineStr">
        <is>
          <t>n/a</t>
        </is>
      </c>
      <c r="C8" s="25" t="inlineStr">
        <is>
          <t>N/A</t>
        </is>
      </c>
      <c r="D8" s="25" t="inlineStr">
        <is>
          <t>OTHER</t>
        </is>
      </c>
      <c r="E8" s="26" t="inlineStr">
        <is>
          <t>N/A</t>
        </is>
      </c>
      <c r="F8" s="26" t="inlineStr">
        <is>
          <t>TEMPLATES constant array, src/routes/_authenticated.sequences.tsx:28-123 — hardcoded template definitions (day, title, subtitle, slide labels/hints), identical for every workspace (key='wins_nurture', line 52-65)</t>
        </is>
      </c>
      <c r="G8" s="26" t="inlineStr">
        <is>
          <t>N/A</t>
        </is>
      </c>
      <c r="H8" s="27" t="inlineStr">
        <is>
          <t>LIVE</t>
        </is>
      </c>
      <c r="I8" s="28" t="inlineStr">
        <is>
          <t>CONT-0548</t>
        </is>
      </c>
    </row>
    <row r="9" ht="30" customHeight="1">
      <c r="A9" s="29" t="inlineStr">
        <is>
          <t>YouTube Vid Sequence</t>
        </is>
      </c>
      <c r="B9" s="30" t="inlineStr">
        <is>
          <t>n/a</t>
        </is>
      </c>
      <c r="C9" s="31" t="inlineStr">
        <is>
          <t>N/A</t>
        </is>
      </c>
      <c r="D9" s="31" t="inlineStr">
        <is>
          <t>OTHER</t>
        </is>
      </c>
      <c r="E9" s="32" t="inlineStr">
        <is>
          <t>N/A</t>
        </is>
      </c>
      <c r="F9" s="32" t="inlineStr">
        <is>
          <t>TEMPLATES constant array, src/routes/_authenticated.sequences.tsx:28-123 — hardcoded template definitions (day, title, subtitle, slide labels/hints), identical for every workspace (key='youtube_vid', line 66-78)</t>
        </is>
      </c>
      <c r="G9" s="32" t="inlineStr">
        <is>
          <t>N/A</t>
        </is>
      </c>
      <c r="H9" s="27" t="inlineStr">
        <is>
          <t>LIVE</t>
        </is>
      </c>
      <c r="I9" s="33" t="inlineStr">
        <is>
          <t>CONT-0549</t>
        </is>
      </c>
    </row>
    <row r="10" ht="30" customHeight="1">
      <c r="A10" s="23" t="inlineStr">
        <is>
          <t>Story Poll Sequence #2</t>
        </is>
      </c>
      <c r="B10" s="24" t="inlineStr">
        <is>
          <t>n/a</t>
        </is>
      </c>
      <c r="C10" s="25" t="inlineStr">
        <is>
          <t>N/A</t>
        </is>
      </c>
      <c r="D10" s="25" t="inlineStr">
        <is>
          <t>OTHER</t>
        </is>
      </c>
      <c r="E10" s="26" t="inlineStr">
        <is>
          <t>N/A</t>
        </is>
      </c>
      <c r="F10" s="26" t="inlineStr">
        <is>
          <t>TEMPLATES constant array, src/routes/_authenticated.sequences.tsx:28-123 — hardcoded template definitions (day, title, subtitle, slide labels/hints), identical for every workspace (key='story_poll_2', line 79-91)</t>
        </is>
      </c>
      <c r="G10" s="26" t="inlineStr">
        <is>
          <t>N/A</t>
        </is>
      </c>
      <c r="H10" s="27" t="inlineStr">
        <is>
          <t>LIVE</t>
        </is>
      </c>
      <c r="I10" s="28" t="inlineStr">
        <is>
          <t>CONT-0550</t>
        </is>
      </c>
    </row>
    <row r="11" ht="30" customHeight="1">
      <c r="A11" s="29" t="inlineStr">
        <is>
          <t>Instagram Story Funnel</t>
        </is>
      </c>
      <c r="B11" s="30" t="inlineStr">
        <is>
          <t>n/a</t>
        </is>
      </c>
      <c r="C11" s="31" t="inlineStr">
        <is>
          <t>N/A</t>
        </is>
      </c>
      <c r="D11" s="31" t="inlineStr">
        <is>
          <t>OTHER</t>
        </is>
      </c>
      <c r="E11" s="32" t="inlineStr">
        <is>
          <t>N/A</t>
        </is>
      </c>
      <c r="F11" s="32" t="inlineStr">
        <is>
          <t>TEMPLATES constant array, src/routes/_authenticated.sequences.tsx:28-123 — hardcoded template definitions (day, title, subtitle, slide labels/hints), identical for every workspace (key='ig_story_funnel', line 92-107)</t>
        </is>
      </c>
      <c r="G11" s="32" t="inlineStr">
        <is>
          <t>N/A</t>
        </is>
      </c>
      <c r="H11" s="27" t="inlineStr">
        <is>
          <t>LIVE</t>
        </is>
      </c>
      <c r="I11" s="33" t="inlineStr">
        <is>
          <t>CONT-0551</t>
        </is>
      </c>
    </row>
    <row r="12" ht="30" customHeight="1">
      <c r="A12" s="23" t="inlineStr">
        <is>
          <t>Personal Story Sequence</t>
        </is>
      </c>
      <c r="B12" s="24" t="inlineStr">
        <is>
          <t>n/a</t>
        </is>
      </c>
      <c r="C12" s="25" t="inlineStr">
        <is>
          <t>N/A</t>
        </is>
      </c>
      <c r="D12" s="25" t="inlineStr">
        <is>
          <t>OTHER</t>
        </is>
      </c>
      <c r="E12" s="26" t="inlineStr">
        <is>
          <t>N/A</t>
        </is>
      </c>
      <c r="F12" s="26" t="inlineStr">
        <is>
          <t>TEMPLATES constant array, src/routes/_authenticated.sequences.tsx:28-123 — hardcoded template definitions (day, title, subtitle, slide labels/hints), identical for every workspace (key='personal_story', line 108-122)</t>
        </is>
      </c>
      <c r="G12" s="26" t="inlineStr">
        <is>
          <t>N/A</t>
        </is>
      </c>
      <c r="H12" s="27" t="inlineStr">
        <is>
          <t>LIVE</t>
        </is>
      </c>
      <c r="I12" s="28" t="inlineStr">
        <is>
          <t>CONT-0552</t>
        </is>
      </c>
    </row>
    <row r="13" ht="6" customHeight="1"/>
    <row r="14" ht="20" customHeight="1">
      <c r="A14" s="22" t="inlineStr">
        <is>
          <t>SAVED SEQUENCES</t>
        </is>
      </c>
    </row>
    <row r="15" ht="30" customHeight="1">
      <c r="A15" s="29" t="inlineStr">
        <is>
          <t>status (draft/ready/posted)</t>
        </is>
      </c>
      <c r="B15" s="37" t="n"/>
      <c r="C15" s="31" t="inlineStr">
        <is>
          <t>text (enum-like: draft/ready/posted)</t>
        </is>
      </c>
      <c r="D15" s="31" t="inlineStr">
        <is>
          <t>RAW</t>
        </is>
      </c>
      <c r="E15" s="32" t="inlineStr">
        <is>
          <t>N/A</t>
        </is>
      </c>
      <c r="F15" s="32" t="inlineStr">
        <is>
          <t>story_sequences.status (sequences.tsx:139-146 query; badge rendered at sequences.tsx:354)</t>
        </is>
      </c>
      <c r="G15" s="32" t="inlineStr">
        <is>
          <t>None — all rows for the org, no date filter in the query</t>
        </is>
      </c>
      <c r="H15" s="27" t="inlineStr">
        <is>
          <t>LIVE</t>
        </is>
      </c>
      <c r="I15" s="33" t="inlineStr">
        <is>
          <t>CONT-0553</t>
        </is>
      </c>
    </row>
    <row r="16" ht="30" customHeight="1">
      <c r="A16" s="23" t="inlineStr">
        <is>
          <t>slide count</t>
        </is>
      </c>
      <c r="B16" s="37" t="n"/>
      <c r="C16" s="25" t="inlineStr">
        <is>
          <t>count</t>
        </is>
      </c>
      <c r="D16" s="25" t="inlineStr">
        <is>
          <t>AGGREGATED</t>
        </is>
      </c>
      <c r="E16" s="26" t="inlineStr">
        <is>
          <t>length of the slides jsonb array stored on the row</t>
        </is>
      </c>
      <c r="F16" s="26" t="inlineStr">
        <is>
          <t>slides.length, computed client-side from story_sequences.slides (jsonb array) (sequences.tsx:349,357)</t>
        </is>
      </c>
      <c r="G16" s="26" t="inlineStr">
        <is>
          <t>None — all rows for the org, no date filter in the query</t>
        </is>
      </c>
      <c r="H16" s="27" t="inlineStr">
        <is>
          <t>LIVE</t>
        </is>
      </c>
      <c r="I16" s="28" t="inlineStr">
        <is>
          <t>CONT-0554</t>
        </is>
      </c>
    </row>
    <row r="17" ht="6" customHeight="1"/>
  </sheetData>
  <autoFilter ref="A4:I16"/>
  <mergeCells count="2">
    <mergeCell ref="A5:I5"/>
    <mergeCell ref="A14:I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CopyOS &gt; Client DNA</t>
        </is>
      </c>
    </row>
    <row r="2">
      <c r="A2" s="21" t="inlineStr">
        <is>
          <t>24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POSITIONING SNAPSHOT</t>
        </is>
      </c>
    </row>
    <row r="6" ht="30" customHeight="1">
      <c r="A6" s="23" t="inlineStr">
        <is>
          <t>Profile completeness</t>
        </is>
      </c>
      <c r="B6" s="39" t="n"/>
      <c r="C6" s="25" t="inlineStr">
        <is>
          <t>%</t>
        </is>
      </c>
      <c r="D6" s="25" t="inlineStr">
        <is>
          <t>DERIVED</t>
        </is>
      </c>
      <c r="E6" s="26" t="inlineStr">
        <is>
          <t>round(filledCount / 14 * 100), where filledCount counts how many of 14 named copy_clients fields (niche, bio, location, instagram_handle, business_stage, monthly_revenue_cents, offer_price_cents, content_pillars, goals, dream_outcome, proof_assets, sacred_cows, competitors, voice_transcripts) are...</t>
        </is>
      </c>
      <c r="F6" s="26" t="inlineStr">
        <is>
          <t>positioningScore, computed client-side in ClientsTab (copy.tsx:1242-1263)</t>
        </is>
      </c>
      <c r="G6" s="26" t="inlineStr">
        <is>
          <t>None — snapshot of current row/record state, not time-windowed</t>
        </is>
      </c>
      <c r="H6" s="27" t="inlineStr">
        <is>
          <t>LIVE</t>
        </is>
      </c>
      <c r="I6" s="28" t="inlineStr">
        <is>
          <t>COPY-0555</t>
        </is>
      </c>
    </row>
    <row r="7" ht="30" customHeight="1">
      <c r="A7" s="29" t="inlineStr">
        <is>
          <t>Reach by channel (Instagram/TikTok/YouTube)</t>
        </is>
      </c>
      <c r="B7" s="39" t="n"/>
      <c r="C7" s="31" t="inlineStr">
        <is>
          <t>% (relative to the largest channel)</t>
        </is>
      </c>
      <c r="D7" s="31" t="inlineStr">
        <is>
          <t>DERIVED</t>
        </is>
      </c>
      <c r="E7" s="32" t="inlineStr">
        <is>
          <t>per channel: round(channel_followers / max(instagram_followers, tiktok_followers, youtube_subscribers, 1) * 100) — a relative share, not an absolute count</t>
        </is>
      </c>
      <c r="F7" s="32" t="inlineStr">
        <is>
          <t>reachRadar (copy.tsx:1274-1277)</t>
        </is>
      </c>
      <c r="G7" s="32" t="inlineStr">
        <is>
          <t>None — snapshot of current row/record state, not time-windowed</t>
        </is>
      </c>
      <c r="H7" s="27" t="inlineStr">
        <is>
          <t>LIVE</t>
        </is>
      </c>
      <c r="I7" s="33" t="inlineStr">
        <is>
          <t>COPY-0556</t>
        </is>
      </c>
    </row>
    <row r="8" ht="30" customHeight="1">
      <c r="A8" s="23" t="inlineStr">
        <is>
          <t>Total reach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instagram_followers + tiktok_followers + youtube_subscribers</t>
        </is>
      </c>
      <c r="F8" s="26" t="inlineStr">
        <is>
          <t>totalReach (copy.tsx:1264-1267)</t>
        </is>
      </c>
      <c r="G8" s="26" t="inlineStr">
        <is>
          <t>None — snapshot of current row/record state, not time-windowed</t>
        </is>
      </c>
      <c r="H8" s="27" t="inlineStr">
        <is>
          <t>LIVE</t>
        </is>
      </c>
      <c r="I8" s="28" t="inlineStr">
        <is>
          <t>COPY-0557</t>
        </is>
      </c>
    </row>
    <row r="9" ht="30" customHeight="1">
      <c r="A9" s="29" t="inlineStr">
        <is>
          <t>Business stage</t>
        </is>
      </c>
      <c r="B9" s="37" t="n"/>
      <c r="C9" s="31" t="inlineStr">
        <is>
          <t>text (free text, e.g. "Pre-offer / $10k mo / scaling")</t>
        </is>
      </c>
      <c r="D9" s="31" t="inlineStr">
        <is>
          <t>RAW</t>
        </is>
      </c>
      <c r="E9" s="32" t="inlineStr">
        <is>
          <t>N/A</t>
        </is>
      </c>
      <c r="F9" s="32" t="inlineStr">
        <is>
          <t>copy_clients.business_stage (copy.tsx:1309-1313)</t>
        </is>
      </c>
      <c r="G9" s="32" t="inlineStr">
        <is>
          <t>None — snapshot of current row/record state, not time-windowed</t>
        </is>
      </c>
      <c r="H9" s="27" t="inlineStr">
        <is>
          <t>LIVE</t>
        </is>
      </c>
      <c r="I9" s="33" t="inlineStr">
        <is>
          <t>COPY-0558</t>
        </is>
      </c>
    </row>
    <row r="10" ht="30" customHeight="1">
      <c r="A10" s="23" t="inlineStr">
        <is>
          <t>Proof assets logged</t>
        </is>
      </c>
      <c r="B10" s="24" t="inlineStr">
        <is>
          <t>n/a</t>
        </is>
      </c>
      <c r="C10" s="25" t="inlineStr">
        <is>
          <t>boolean (badge presence)</t>
        </is>
      </c>
      <c r="D10" s="25" t="inlineStr">
        <is>
          <t>STATUS</t>
        </is>
      </c>
      <c r="E10" s="26" t="inlineStr">
        <is>
          <t>badge shown iff proof_assets is truthy (non-empty text)</t>
        </is>
      </c>
      <c r="F10" s="26" t="inlineStr">
        <is>
          <t>Boolean presence badge on copy_clients.proof_assets (copy.tsx:1316-1318)</t>
        </is>
      </c>
      <c r="G10" s="26" t="inlineStr">
        <is>
          <t>None — snapshot of current row/record state, not time-windowed</t>
        </is>
      </c>
      <c r="H10" s="27" t="inlineStr">
        <is>
          <t>LIVE</t>
        </is>
      </c>
      <c r="I10" s="28" t="inlineStr">
        <is>
          <t>COPY-0559</t>
        </is>
      </c>
    </row>
    <row r="11" ht="6" customHeight="1"/>
    <row r="12" ht="20" customHeight="1">
      <c r="A12" s="22" t="inlineStr">
        <is>
          <t>PROFILE</t>
        </is>
      </c>
    </row>
    <row r="13" ht="30" customHeight="1">
      <c r="A13" s="29" t="inlineStr">
        <is>
          <t>Age</t>
        </is>
      </c>
      <c r="B13" s="37" t="n"/>
      <c r="C13" s="31" t="inlineStr">
        <is>
          <t>count (years)</t>
        </is>
      </c>
      <c r="D13" s="31" t="inlineStr">
        <is>
          <t>RAW</t>
        </is>
      </c>
      <c r="E13" s="32" t="inlineStr">
        <is>
          <t>N/A</t>
        </is>
      </c>
      <c r="F13" s="32" t="inlineStr">
        <is>
          <t>copy_clients.age (copy.tsx:1345-1351,1161)</t>
        </is>
      </c>
      <c r="G13" s="32" t="inlineStr">
        <is>
          <t>None — snapshot of current row/record state, not time-windowed</t>
        </is>
      </c>
      <c r="H13" s="27" t="inlineStr">
        <is>
          <t>LIVE</t>
        </is>
      </c>
      <c r="I13" s="33" t="inlineStr">
        <is>
          <t>COPY-0560</t>
        </is>
      </c>
    </row>
    <row r="14" ht="30" customHeight="1">
      <c r="A14" s="23" t="inlineStr">
        <is>
          <t>Niche</t>
        </is>
      </c>
      <c r="B14" s="37" t="n"/>
      <c r="C14" s="25" t="inlineStr">
        <is>
          <t>text</t>
        </is>
      </c>
      <c r="D14" s="25" t="inlineStr">
        <is>
          <t>RAW</t>
        </is>
      </c>
      <c r="E14" s="26" t="inlineStr">
        <is>
          <t>N/A</t>
        </is>
      </c>
      <c r="F14" s="26" t="inlineStr">
        <is>
          <t>copy_clients.niche (copy.tsx:1353-1359)</t>
        </is>
      </c>
      <c r="G14" s="26" t="inlineStr">
        <is>
          <t>None — snapshot of current row/record state, not time-windowed</t>
        </is>
      </c>
      <c r="H14" s="27" t="inlineStr">
        <is>
          <t>LIVE</t>
        </is>
      </c>
      <c r="I14" s="28" t="inlineStr">
        <is>
          <t>COPY-0561</t>
        </is>
      </c>
    </row>
    <row r="15" ht="30" customHeight="1">
      <c r="A15" s="29" t="inlineStr">
        <is>
          <t>Location</t>
        </is>
      </c>
      <c r="B15" s="37" t="n"/>
      <c r="C15" s="31" t="inlineStr">
        <is>
          <t>text</t>
        </is>
      </c>
      <c r="D15" s="31" t="inlineStr">
        <is>
          <t>RAW</t>
        </is>
      </c>
      <c r="E15" s="32" t="inlineStr">
        <is>
          <t>N/A</t>
        </is>
      </c>
      <c r="F15" s="32" t="inlineStr">
        <is>
          <t>copy_clients.location (copy.tsx:1361-1367)</t>
        </is>
      </c>
      <c r="G15" s="32" t="inlineStr">
        <is>
          <t>None — snapshot of current row/record state, not time-windowed</t>
        </is>
      </c>
      <c r="H15" s="27" t="inlineStr">
        <is>
          <t>LIVE</t>
        </is>
      </c>
      <c r="I15" s="33" t="inlineStr">
        <is>
          <t>COPY-0562</t>
        </is>
      </c>
    </row>
    <row r="16" ht="30" customHeight="1">
      <c r="A16" s="23" t="inlineStr">
        <is>
          <t>Monthly revenue</t>
        </is>
      </c>
      <c r="B16" s="34" t="n"/>
      <c r="C16" s="25" t="inlineStr">
        <is>
          <t>$</t>
        </is>
      </c>
      <c r="D16" s="25" t="inlineStr">
        <is>
          <t>RAW</t>
        </is>
      </c>
      <c r="E16" s="26" t="inlineStr">
        <is>
          <t>N/A (stored as cents, displayed divided by 100)</t>
        </is>
      </c>
      <c r="F16" s="26" t="inlineStr">
        <is>
          <t>copy_clients.monthly_revenue_cents (copy.tsx:1416-1426,1170-1173)</t>
        </is>
      </c>
      <c r="G16" s="26" t="inlineStr">
        <is>
          <t>None — snapshot of current row/record state, not time-windowed</t>
        </is>
      </c>
      <c r="H16" s="27" t="inlineStr">
        <is>
          <t>LIVE</t>
        </is>
      </c>
      <c r="I16" s="28" t="inlineStr">
        <is>
          <t>COPY-0563</t>
        </is>
      </c>
    </row>
    <row r="17" ht="30" customHeight="1">
      <c r="A17" s="29" t="inlineStr">
        <is>
          <t>Offer price</t>
        </is>
      </c>
      <c r="B17" s="34" t="n"/>
      <c r="C17" s="31" t="inlineStr">
        <is>
          <t>$</t>
        </is>
      </c>
      <c r="D17" s="31" t="inlineStr">
        <is>
          <t>RAW</t>
        </is>
      </c>
      <c r="E17" s="32" t="inlineStr">
        <is>
          <t>N/A</t>
        </is>
      </c>
      <c r="F17" s="32" t="inlineStr">
        <is>
          <t>copy_clients.offer_price_cents (copy.tsx:1428-1438,1174-1177)</t>
        </is>
      </c>
      <c r="G17" s="32" t="inlineStr">
        <is>
          <t>None — snapshot of current row/record state, not time-windowed</t>
        </is>
      </c>
      <c r="H17" s="27" t="inlineStr">
        <is>
          <t>LIVE</t>
        </is>
      </c>
      <c r="I17" s="33" t="inlineStr">
        <is>
          <t>COPY-0564</t>
        </is>
      </c>
    </row>
    <row r="18" ht="30" customHeight="1">
      <c r="A18" s="23" t="inlineStr">
        <is>
          <t>Content pillars</t>
        </is>
      </c>
      <c r="B18" s="37" t="n"/>
      <c r="C18" s="25" t="inlineStr">
        <is>
          <t>text (free text)</t>
        </is>
      </c>
      <c r="D18" s="25" t="inlineStr">
        <is>
          <t>RAW</t>
        </is>
      </c>
      <c r="E18" s="26" t="inlineStr">
        <is>
          <t>N/A</t>
        </is>
      </c>
      <c r="F18" s="26" t="inlineStr">
        <is>
          <t>copy_clients.content_pillars (copy.tsx:1442-1448)</t>
        </is>
      </c>
      <c r="G18" s="26" t="inlineStr">
        <is>
          <t>None — snapshot of current row/record state, not time-windowed</t>
        </is>
      </c>
      <c r="H18" s="27" t="inlineStr">
        <is>
          <t>LIVE</t>
        </is>
      </c>
      <c r="I18" s="28" t="inlineStr">
        <is>
          <t>COPY-0565</t>
        </is>
      </c>
    </row>
    <row r="19" ht="30" customHeight="1">
      <c r="A19" s="29" t="inlineStr">
        <is>
          <t>Proof/receipts</t>
        </is>
      </c>
      <c r="B19" s="37" t="n"/>
      <c r="C19" s="31" t="inlineStr">
        <is>
          <t>text (free text)</t>
        </is>
      </c>
      <c r="D19" s="31" t="inlineStr">
        <is>
          <t>RAW</t>
        </is>
      </c>
      <c r="E19" s="32" t="inlineStr">
        <is>
          <t>N/A</t>
        </is>
      </c>
      <c r="F19" s="32" t="inlineStr">
        <is>
          <t>copy_clients.proof_assets (copy.tsx:1451-1457)</t>
        </is>
      </c>
      <c r="G19" s="32" t="inlineStr">
        <is>
          <t>None — snapshot of current row/record state, not time-windowed</t>
        </is>
      </c>
      <c r="H19" s="27" t="inlineStr">
        <is>
          <t>LIVE</t>
        </is>
      </c>
      <c r="I19" s="33" t="inlineStr">
        <is>
          <t>COPY-0566</t>
        </is>
      </c>
    </row>
    <row r="20" ht="30" customHeight="1">
      <c r="A20" s="23" t="inlineStr">
        <is>
          <t>90-day goals</t>
        </is>
      </c>
      <c r="B20" s="37" t="n"/>
      <c r="C20" s="25" t="inlineStr">
        <is>
          <t>text (free text)</t>
        </is>
      </c>
      <c r="D20" s="25" t="inlineStr">
        <is>
          <t>RAW</t>
        </is>
      </c>
      <c r="E20" s="26" t="inlineStr">
        <is>
          <t>N/A</t>
        </is>
      </c>
      <c r="F20" s="26" t="inlineStr">
        <is>
          <t>copy_clients.goals, labeled "His goals (next 90 days)" in the UI (copy.tsx:1460-1465)</t>
        </is>
      </c>
      <c r="G20" s="26" t="inlineStr">
        <is>
          <t>None — snapshot of current row/record state, not time-windowed</t>
        </is>
      </c>
      <c r="H20" s="27" t="inlineStr">
        <is>
          <t>LIVE</t>
        </is>
      </c>
      <c r="I20" s="28" t="inlineStr">
        <is>
          <t>COPY-0567</t>
        </is>
      </c>
    </row>
    <row r="21" ht="30" customHeight="1">
      <c r="A21" s="29" t="inlineStr">
        <is>
          <t>Dream outcome</t>
        </is>
      </c>
      <c r="B21" s="37" t="n"/>
      <c r="C21" s="31" t="inlineStr">
        <is>
          <t>text (free text)</t>
        </is>
      </c>
      <c r="D21" s="31" t="inlineStr">
        <is>
          <t>RAW</t>
        </is>
      </c>
      <c r="E21" s="32" t="inlineStr">
        <is>
          <t>N/A</t>
        </is>
      </c>
      <c r="F21" s="32" t="inlineStr">
        <is>
          <t>copy_clients.dream_outcome (copy.tsx:1468-1473)</t>
        </is>
      </c>
      <c r="G21" s="32" t="inlineStr">
        <is>
          <t>None — snapshot of current row/record state, not time-windowed</t>
        </is>
      </c>
      <c r="H21" s="27" t="inlineStr">
        <is>
          <t>LIVE</t>
        </is>
      </c>
      <c r="I21" s="33" t="inlineStr">
        <is>
          <t>COPY-0568</t>
        </is>
      </c>
    </row>
    <row r="22" ht="6" customHeight="1"/>
    <row r="23" ht="20" customHeight="1">
      <c r="A23" s="22" t="inlineStr">
        <is>
          <t>OFFER CONFIGURATION</t>
        </is>
      </c>
    </row>
    <row r="24" ht="30" customHeight="1">
      <c r="A24" s="23" t="inlineStr">
        <is>
          <t>Ticket tiers</t>
        </is>
      </c>
      <c r="B24" s="37" t="n"/>
      <c r="C24" s="25" t="inlineStr">
        <is>
          <t>list of records (label/key/order/active)</t>
        </is>
      </c>
      <c r="D24" s="25" t="inlineStr">
        <is>
          <t>RAW</t>
        </is>
      </c>
      <c r="E24" s="26" t="inlineStr">
        <is>
          <t>N/A</t>
        </is>
      </c>
      <c r="F24" s="26" t="inlineStr">
        <is>
          <t>offer_tiers table (id/key/label/sort_order/is_active), read+written in TierEditor (copy.tsx:518-613); query at copy.tsx:215-227</t>
        </is>
      </c>
      <c r="G24" s="26" t="inlineStr">
        <is>
          <t>None — all rows for the org, no date filter in the query</t>
        </is>
      </c>
      <c r="H24" s="27" t="inlineStr">
        <is>
          <t>LIVE</t>
        </is>
      </c>
      <c r="I24" s="28" t="inlineStr">
        <is>
          <t>COPY-0569</t>
        </is>
      </c>
    </row>
    <row r="25" ht="30" customHeight="1">
      <c r="A25" s="29" t="inlineStr">
        <is>
          <t>Offers (price)</t>
        </is>
      </c>
      <c r="B25" s="34" t="n"/>
      <c r="C25" s="31" t="inlineStr">
        <is>
          <t>$</t>
        </is>
      </c>
      <c r="D25" s="31" t="inlineStr">
        <is>
          <t>RAW</t>
        </is>
      </c>
      <c r="E25" s="32" t="inlineStr">
        <is>
          <t>N/A</t>
        </is>
      </c>
      <c r="F25" s="32" t="inlineStr">
        <is>
          <t>offers.price_cents (copy.tsx:670-676)</t>
        </is>
      </c>
      <c r="G25" s="32" t="inlineStr">
        <is>
          <t>None — all rows for the org, no date filter in the query</t>
        </is>
      </c>
      <c r="H25" s="27" t="inlineStr">
        <is>
          <t>LIVE</t>
        </is>
      </c>
      <c r="I25" s="33" t="inlineStr">
        <is>
          <t>COPY-0570</t>
        </is>
      </c>
    </row>
    <row r="26" ht="30" customHeight="1">
      <c r="A26" s="23" t="inlineStr">
        <is>
          <t>pricing type</t>
        </is>
      </c>
      <c r="B26" s="37" t="n"/>
      <c r="C26" s="25" t="inlineStr">
        <is>
          <t>text (enum: single/mrr)</t>
        </is>
      </c>
      <c r="D26" s="25" t="inlineStr">
        <is>
          <t>RAW</t>
        </is>
      </c>
      <c r="E26" s="26" t="inlineStr">
        <is>
          <t>N/A</t>
        </is>
      </c>
      <c r="F26" s="26" t="inlineStr">
        <is>
          <t>offers.pricing_type (copy.tsx:677-688)</t>
        </is>
      </c>
      <c r="G26" s="26" t="inlineStr">
        <is>
          <t>None — all rows for the org, no date filter in the query</t>
        </is>
      </c>
      <c r="H26" s="27" t="inlineStr">
        <is>
          <t>LIVE</t>
        </is>
      </c>
      <c r="I26" s="28" t="inlineStr">
        <is>
          <t>COPY-0571</t>
        </is>
      </c>
    </row>
    <row r="27" ht="30" customHeight="1">
      <c r="A27" s="29" t="inlineStr">
        <is>
          <t>active/inactive</t>
        </is>
      </c>
      <c r="B27" s="30" t="inlineStr">
        <is>
          <t>n/a</t>
        </is>
      </c>
      <c r="C27" s="31" t="inlineStr">
        <is>
          <t>boolean</t>
        </is>
      </c>
      <c r="D27" s="31" t="inlineStr">
        <is>
          <t>STATUS</t>
        </is>
      </c>
      <c r="E27" s="32" t="inlineStr">
        <is>
          <t>N/A</t>
        </is>
      </c>
      <c r="F27" s="32" t="inlineStr">
        <is>
          <t>offers.is_active (copy.tsx:690-700)</t>
        </is>
      </c>
      <c r="G27" s="32" t="inlineStr">
        <is>
          <t>None — all rows for the org, no date filter in the query</t>
        </is>
      </c>
      <c r="H27" s="27" t="inlineStr">
        <is>
          <t>LIVE</t>
        </is>
      </c>
      <c r="I27" s="33" t="inlineStr">
        <is>
          <t>COPY-0572</t>
        </is>
      </c>
    </row>
    <row r="28" ht="30" customHeight="1">
      <c r="A28" s="23" t="inlineStr">
        <is>
          <t>Payment plans (cadence)</t>
        </is>
      </c>
      <c r="B28" s="37" t="n"/>
      <c r="C28" s="25" t="inlineStr">
        <is>
          <t>text (enum: single/weekly/biweekly/monthly/mrr/custom)</t>
        </is>
      </c>
      <c r="D28" s="25" t="inlineStr">
        <is>
          <t>RAW</t>
        </is>
      </c>
      <c r="E28" s="26" t="inlineStr">
        <is>
          <t>N/A</t>
        </is>
      </c>
      <c r="F28" s="26" t="inlineStr">
        <is>
          <t>offer_payment_plans.cadence (copy.tsx:817-828)</t>
        </is>
      </c>
      <c r="G28" s="26" t="inlineStr">
        <is>
          <t>None — all rows for the org, no date filter in the query</t>
        </is>
      </c>
      <c r="H28" s="27" t="inlineStr">
        <is>
          <t>LIVE</t>
        </is>
      </c>
      <c r="I28" s="28" t="inlineStr">
        <is>
          <t>COPY-0573</t>
        </is>
      </c>
    </row>
    <row r="29" ht="30" customHeight="1">
      <c r="A29" s="29" t="inlineStr">
        <is>
          <t>deposit</t>
        </is>
      </c>
      <c r="B29" s="34" t="n"/>
      <c r="C29" s="31" t="inlineStr">
        <is>
          <t>$</t>
        </is>
      </c>
      <c r="D29" s="31" t="inlineStr">
        <is>
          <t>RAW</t>
        </is>
      </c>
      <c r="E29" s="32" t="inlineStr">
        <is>
          <t>N/A</t>
        </is>
      </c>
      <c r="F29" s="32" t="inlineStr">
        <is>
          <t>offer_payment_plans.deposit_cents (copy.tsx:829-835)</t>
        </is>
      </c>
      <c r="G29" s="32" t="inlineStr">
        <is>
          <t>None — all rows for the org, no date filter in the query</t>
        </is>
      </c>
      <c r="H29" s="27" t="inlineStr">
        <is>
          <t>LIVE</t>
        </is>
      </c>
      <c r="I29" s="33" t="inlineStr">
        <is>
          <t>COPY-0574</t>
        </is>
      </c>
    </row>
    <row r="30" ht="30" customHeight="1">
      <c r="A30" s="23" t="inlineStr">
        <is>
          <t>installment</t>
        </is>
      </c>
      <c r="B30" s="34" t="n"/>
      <c r="C30" s="25" t="inlineStr">
        <is>
          <t>$</t>
        </is>
      </c>
      <c r="D30" s="25" t="inlineStr">
        <is>
          <t>RAW</t>
        </is>
      </c>
      <c r="E30" s="26" t="inlineStr">
        <is>
          <t>N/A</t>
        </is>
      </c>
      <c r="F30" s="26" t="inlineStr">
        <is>
          <t>offer_payment_plans.installment_amount_cents (copy.tsx:836-842)</t>
        </is>
      </c>
      <c r="G30" s="26" t="inlineStr">
        <is>
          <t>None — all rows for the org, no date filter in the query</t>
        </is>
      </c>
      <c r="H30" s="27" t="inlineStr">
        <is>
          <t>LIVE</t>
        </is>
      </c>
      <c r="I30" s="28" t="inlineStr">
        <is>
          <t>COPY-0575</t>
        </is>
      </c>
    </row>
    <row r="31" ht="30" customHeight="1">
      <c r="A31" s="29" t="inlineStr">
        <is>
          <t># installments</t>
        </is>
      </c>
      <c r="B31" s="37" t="n"/>
      <c r="C31" s="31" t="inlineStr">
        <is>
          <t>count</t>
        </is>
      </c>
      <c r="D31" s="31" t="inlineStr">
        <is>
          <t>RAW</t>
        </is>
      </c>
      <c r="E31" s="32" t="inlineStr">
        <is>
          <t>N/A</t>
        </is>
      </c>
      <c r="F31" s="32" t="inlineStr">
        <is>
          <t>offer_payment_plans.installment_count (copy.tsx:843-851)</t>
        </is>
      </c>
      <c r="G31" s="32" t="inlineStr">
        <is>
          <t>None — all rows for the org, no date filter in the query</t>
        </is>
      </c>
      <c r="H31" s="27" t="inlineStr">
        <is>
          <t>LIVE</t>
        </is>
      </c>
      <c r="I31" s="33" t="inlineStr">
        <is>
          <t>COPY-0576</t>
        </is>
      </c>
    </row>
    <row r="32" ht="30" customHeight="1">
      <c r="A32" s="23" t="inlineStr">
        <is>
          <t>total contracted value</t>
        </is>
      </c>
      <c r="B32" s="34" t="n"/>
      <c r="C32" s="25" t="inlineStr">
        <is>
          <t>$</t>
        </is>
      </c>
      <c r="D32" s="25" t="inlineStr">
        <is>
          <t>RAW</t>
        </is>
      </c>
      <c r="E32" s="26" t="inlineStr">
        <is>
          <t>N/A — independently typed, NOT auto-computed as deposit + installment_amount*installment_count</t>
        </is>
      </c>
      <c r="F32" s="26" t="inlineStr">
        <is>
          <t>offer_payment_plans.total_contracted_value_cents (copy.tsx:852-858)</t>
        </is>
      </c>
      <c r="G32" s="26" t="inlineStr">
        <is>
          <t>None — all rows for the org, no date filter in the query</t>
        </is>
      </c>
      <c r="H32" s="27" t="inlineStr">
        <is>
          <t>LIVE</t>
        </is>
      </c>
      <c r="I32" s="28" t="inlineStr">
        <is>
          <t>COPY-0577</t>
        </is>
      </c>
    </row>
    <row r="33" ht="30" customHeight="1">
      <c r="A33" s="29" t="inlineStr">
        <is>
          <t>Classification rules (threshold -&gt; tier)</t>
        </is>
      </c>
      <c r="B33" s="37" t="n"/>
      <c r="C33" s="31" t="inlineStr">
        <is>
          <t>list of rules (ordered)</t>
        </is>
      </c>
      <c r="D33" s="31" t="inlineStr">
        <is>
          <t>RAW</t>
        </is>
      </c>
      <c r="E33" s="32" t="inlineStr">
        <is>
          <t>Evaluated in priority order; first rule whose typeform_field_key is present and whose operator(value, threshold_cents) is true wins — unmatched leads are left Unknown/Unclassified rather than guessed (copy.tsx:1053-1058)</t>
        </is>
      </c>
      <c r="F33" s="32" t="inlineStr">
        <is>
          <t>lead_classification_rules (priority/typeform_field_key/operator/threshold_cents/tier_key/is_active), copy.tsx:923-1083; consumed by src/routes/api/public/typeform.ts:138-155 to set leads.ticket_tier/ticket_tier_raw_value/ticket_tier_rule_id on real Typeform webhook ingestion</t>
        </is>
      </c>
      <c r="G33" s="32" t="inlineStr">
        <is>
          <t>None — all rows for the org, no date filter in the query</t>
        </is>
      </c>
      <c r="H33" s="27" t="inlineStr">
        <is>
          <t>LIVE</t>
        </is>
      </c>
      <c r="I33" s="33" t="inlineStr">
        <is>
          <t>COPY-0578</t>
        </is>
      </c>
    </row>
    <row r="34" ht="6" customHeight="1"/>
  </sheetData>
  <autoFilter ref="A4:I33"/>
  <mergeCells count="3">
    <mergeCell ref="A5:I5"/>
    <mergeCell ref="A12:I12"/>
    <mergeCell ref="A23:I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Fulfillment &gt; Onboarding</t>
        </is>
      </c>
    </row>
    <row r="2">
      <c r="A2" s="21" t="inlineStr">
        <is>
          <t>46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STAT ROW</t>
        </is>
      </c>
    </row>
    <row r="6" ht="30" customHeight="1">
      <c r="A6" s="23" t="inlineStr">
        <is>
          <t>Total intakes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total = responses?.length ?? 0 — onboarding.tsx:606</t>
        </is>
      </c>
      <c r="F6" s="26" t="inlineStr">
        <is>
          <t>public.onboarding_responses (org_id, client_id, responses jsonb, submitted_at) — src/routes/_authenticated.onboarding.tsx:538-548,606</t>
        </is>
      </c>
      <c r="G6" s="26" t="inlineStr">
        <is>
          <t>All-time (no date filter on the query)</t>
        </is>
      </c>
      <c r="H6" s="27" t="inlineStr">
        <is>
          <t>LIVE</t>
        </is>
      </c>
      <c r="I6" s="28" t="inlineStr">
        <is>
          <t>FULF-0579</t>
        </is>
      </c>
    </row>
    <row r="7" ht="30" customHeight="1">
      <c r="A7" s="29" t="inlineStr">
        <is>
          <t>Submitted</t>
        </is>
      </c>
      <c r="B7" s="37" t="n"/>
      <c r="C7" s="31" t="inlineStr">
        <is>
          <t>count</t>
        </is>
      </c>
      <c r="D7" s="31" t="inlineStr">
        <is>
          <t>AGGREGATED</t>
        </is>
      </c>
      <c r="E7" s="32" t="inlineStr">
        <is>
          <t>submitted = responses.filter(r =&gt; r.submitted_at).length</t>
        </is>
      </c>
      <c r="F7" s="32" t="inlineStr">
        <is>
          <t>Same onboarding_responses query — onboarding.tsx:607</t>
        </is>
      </c>
      <c r="G7" s="32" t="inlineStr">
        <is>
          <t>All-time</t>
        </is>
      </c>
      <c r="H7" s="27" t="inlineStr">
        <is>
          <t>LIVE</t>
        </is>
      </c>
      <c r="I7" s="33" t="inlineStr">
        <is>
          <t>FULF-0580</t>
        </is>
      </c>
    </row>
    <row r="8" ht="30" customHeight="1">
      <c r="A8" s="23" t="inlineStr">
        <is>
          <t>Pending</t>
        </is>
      </c>
      <c r="B8" s="37" t="n"/>
      <c r="C8" s="25" t="inlineStr">
        <is>
          <t>count</t>
        </is>
      </c>
      <c r="D8" s="25" t="inlineStr">
        <is>
          <t>DERIVED</t>
        </is>
      </c>
      <c r="E8" s="26" t="inlineStr">
        <is>
          <t>total - submitted</t>
        </is>
      </c>
      <c r="F8" s="26" t="inlineStr">
        <is>
          <t>Derived from Total/Submitted above — onboarding.tsx:648</t>
        </is>
      </c>
      <c r="G8" s="26" t="inlineStr">
        <is>
          <t>All-time</t>
        </is>
      </c>
      <c r="H8" s="27" t="inlineStr">
        <is>
          <t>LIVE</t>
        </is>
      </c>
      <c r="I8" s="28" t="inlineStr">
        <is>
          <t>FULF-0581</t>
        </is>
      </c>
    </row>
    <row r="9" ht="30" customHeight="1">
      <c r="A9" s="29" t="inlineStr">
        <is>
          <t>Insight signals</t>
        </is>
      </c>
      <c r="B9" s="37" t="n"/>
      <c r="C9" s="31" t="inlineStr">
        <is>
          <t>count</t>
        </is>
      </c>
      <c r="D9" s="31" t="inlineStr">
        <is>
          <t>DERIVED</t>
        </is>
      </c>
      <c r="E9" s="32" t="inlineStr">
        <is>
          <t>submitted * QUESTIONS.length (32 questions in QUESTIONS array, onboarding.tsx:238-427)</t>
        </is>
      </c>
      <c r="F9" s="32" t="inlineStr">
        <is>
          <t>onboarding.tsx:651</t>
        </is>
      </c>
      <c r="G9" s="32" t="inlineStr">
        <is>
          <t>All-time</t>
        </is>
      </c>
      <c r="H9" s="27" t="inlineStr">
        <is>
          <t>LIVE</t>
        </is>
      </c>
      <c r="I9" s="33" t="inlineStr">
        <is>
          <t>FULF-0582</t>
        </is>
      </c>
    </row>
    <row r="10" ht="6" customHeight="1"/>
    <row r="11" ht="20" customHeight="1">
      <c r="A11" s="22" t="inlineStr">
        <is>
          <t>MECHANISM TAGS</t>
        </is>
      </c>
    </row>
    <row r="12" ht="30" customHeight="1">
      <c r="A12" s="23" t="inlineStr">
        <is>
          <t>Educational</t>
        </is>
      </c>
      <c r="B12" s="37" t="n"/>
      <c r="C12" s="25" t="inlineStr">
        <is>
          <t>count</t>
        </is>
      </c>
      <c r="D12" s="25" t="inlineStr">
        <is>
          <t>AGGREGATED</t>
        </is>
      </c>
      <c r="E12" s="26" t="inlineStr">
        <is>
          <t>mechanismTagCounts: per response, the MECHANISM_KEYS with the highest weight in mechanism_signals wins that response's tag; ties/zero go to Untagged — onboarding.tsx:609-627</t>
        </is>
      </c>
      <c r="F12" s="26" t="inlineStr">
        <is>
          <t>onboarding_responses.mechanism_signals jsonb — onboarding.tsx:609-627, mechanism keys from src/lib/content-mechanisms.ts:18 (MECHANISMS.educational)</t>
        </is>
      </c>
      <c r="G12" s="26" t="inlineStr">
        <is>
          <t>All-time</t>
        </is>
      </c>
      <c r="H12" s="27" t="inlineStr">
        <is>
          <t>LIVE</t>
        </is>
      </c>
      <c r="I12" s="28" t="inlineStr">
        <is>
          <t>FULF-0583</t>
        </is>
      </c>
    </row>
    <row r="13" ht="30" customHeight="1">
      <c r="A13" s="29" t="inlineStr">
        <is>
          <t>Credibility</t>
        </is>
      </c>
      <c r="B13" s="37" t="n"/>
      <c r="C13" s="31" t="inlineStr">
        <is>
          <t>count</t>
        </is>
      </c>
      <c r="D13" s="31" t="inlineStr">
        <is>
          <t>AGGREGATED</t>
        </is>
      </c>
      <c r="E13" s="32" t="inlineStr">
        <is>
          <t>Same algorithm as 0583</t>
        </is>
      </c>
      <c r="F13" s="32" t="inlineStr">
        <is>
          <t>Same as 0583 (content-mechanisms.ts:34)</t>
        </is>
      </c>
      <c r="G13" s="32" t="inlineStr">
        <is>
          <t>All-time</t>
        </is>
      </c>
      <c r="H13" s="27" t="inlineStr">
        <is>
          <t>LIVE</t>
        </is>
      </c>
      <c r="I13" s="33" t="inlineStr">
        <is>
          <t>FULF-0584</t>
        </is>
      </c>
    </row>
    <row r="14" ht="30" customHeight="1">
      <c r="A14" s="23" t="inlineStr">
        <is>
          <t>Authoritative</t>
        </is>
      </c>
      <c r="B14" s="37" t="n"/>
      <c r="C14" s="25" t="inlineStr">
        <is>
          <t>count</t>
        </is>
      </c>
      <c r="D14" s="25" t="inlineStr">
        <is>
          <t>AGGREGATED</t>
        </is>
      </c>
      <c r="E14" s="26" t="inlineStr">
        <is>
          <t>Same algorithm as 0583</t>
        </is>
      </c>
      <c r="F14" s="26" t="inlineStr">
        <is>
          <t>Same as 0583 (content-mechanisms.ts:50)</t>
        </is>
      </c>
      <c r="G14" s="26" t="inlineStr">
        <is>
          <t>All-time</t>
        </is>
      </c>
      <c r="H14" s="27" t="inlineStr">
        <is>
          <t>LIVE</t>
        </is>
      </c>
      <c r="I14" s="28" t="inlineStr">
        <is>
          <t>FULF-0585</t>
        </is>
      </c>
    </row>
    <row r="15" ht="30" customHeight="1">
      <c r="A15" s="29" t="inlineStr">
        <is>
          <t>Relatability</t>
        </is>
      </c>
      <c r="B15" s="37" t="n"/>
      <c r="C15" s="31" t="inlineStr">
        <is>
          <t>count</t>
        </is>
      </c>
      <c r="D15" s="31" t="inlineStr">
        <is>
          <t>AGGREGATED</t>
        </is>
      </c>
      <c r="E15" s="32" t="inlineStr">
        <is>
          <t>Same algorithm as 0583</t>
        </is>
      </c>
      <c r="F15" s="32" t="inlineStr">
        <is>
          <t>Same as 0583 (content-mechanisms.ts:66)</t>
        </is>
      </c>
      <c r="G15" s="32" t="inlineStr">
        <is>
          <t>All-time</t>
        </is>
      </c>
      <c r="H15" s="27" t="inlineStr">
        <is>
          <t>LIVE</t>
        </is>
      </c>
      <c r="I15" s="33" t="inlineStr">
        <is>
          <t>FULF-0586</t>
        </is>
      </c>
    </row>
    <row r="16" ht="30" customHeight="1">
      <c r="A16" s="23" t="inlineStr">
        <is>
          <t>Untagged</t>
        </is>
      </c>
      <c r="B16" s="37" t="n"/>
      <c r="C16" s="25" t="inlineStr">
        <is>
          <t>count</t>
        </is>
      </c>
      <c r="D16" s="25" t="inlineStr">
        <is>
          <t>AGGREGATED</t>
        </is>
      </c>
      <c r="E16" s="26" t="inlineStr">
        <is>
          <t>Responses where every mechanism weight is 0 (no scorable keywords in the 3 scored answers)</t>
        </is>
      </c>
      <c r="F16" s="26" t="inlineStr">
        <is>
          <t>onboarding.tsx:609-627</t>
        </is>
      </c>
      <c r="G16" s="26" t="inlineStr">
        <is>
          <t>All-time</t>
        </is>
      </c>
      <c r="H16" s="27" t="inlineStr">
        <is>
          <t>LIVE</t>
        </is>
      </c>
      <c r="I16" s="28" t="inlineStr">
        <is>
          <t>FULF-0587</t>
        </is>
      </c>
    </row>
    <row r="17" ht="6" customHeight="1"/>
    <row r="18" ht="20" customHeight="1">
      <c r="A18" s="22" t="inlineStr">
        <is>
          <t>INTAKE FIELDS (32 REAL — NOT 28)</t>
        </is>
      </c>
    </row>
    <row r="19" ht="30" customHeight="1">
      <c r="A19" s="29" t="inlineStr">
        <is>
          <t>first content touchpoint</t>
        </is>
      </c>
      <c r="B19" s="37" t="n"/>
      <c r="C19" s="31" t="inlineStr">
        <is>
          <t>text (not count)</t>
        </is>
      </c>
      <c r="D19" s="31" t="inlineStr">
        <is>
          <t>RAW</t>
        </is>
      </c>
      <c r="E19" s="32" t="inlineStr">
        <is>
          <t>Verbatim free-text answer</t>
        </is>
      </c>
      <c r="F19" s="32" t="inlineStr">
        <is>
          <t>onboarding_responses.responses-&gt;&gt;'first_touchpoint' — onboarding.tsx:243-246,1097-1153</t>
        </is>
      </c>
      <c r="G19" s="32" t="inlineStr">
        <is>
          <t>Per-response (submission date)</t>
        </is>
      </c>
      <c r="H19" s="27" t="inlineStr">
        <is>
          <t>LIVE</t>
        </is>
      </c>
      <c r="I19" s="33" t="inlineStr">
        <is>
          <t>FULF-0588</t>
        </is>
      </c>
    </row>
    <row r="20" ht="30" customHeight="1">
      <c r="A20" s="23" t="inlineStr">
        <is>
          <t>decision moment</t>
        </is>
      </c>
      <c r="B20" s="37" t="n"/>
      <c r="C20" s="25" t="inlineStr">
        <is>
          <t>text</t>
        </is>
      </c>
      <c r="D20" s="25" t="inlineStr">
        <is>
          <t>RAW</t>
        </is>
      </c>
      <c r="E20" s="26" t="inlineStr">
        <is>
          <t>Verbatim free-text answer</t>
        </is>
      </c>
      <c r="F20" s="26" t="inlineStr">
        <is>
          <t>responses-&gt;&gt;'pivotal_moment' — onboarding.tsx:249-252</t>
        </is>
      </c>
      <c r="G20" s="26" t="inlineStr">
        <is>
          <t>Per-response</t>
        </is>
      </c>
      <c r="H20" s="27" t="inlineStr">
        <is>
          <t>LIVE</t>
        </is>
      </c>
      <c r="I20" s="28" t="inlineStr">
        <is>
          <t>FULF-0589</t>
        </is>
      </c>
    </row>
    <row r="21" ht="30" customHeight="1">
      <c r="A21" s="29" t="inlineStr">
        <is>
          <t>hesitations</t>
        </is>
      </c>
      <c r="B21" s="37" t="n"/>
      <c r="C21" s="31" t="inlineStr">
        <is>
          <t>text</t>
        </is>
      </c>
      <c r="D21" s="31" t="inlineStr">
        <is>
          <t>RAW</t>
        </is>
      </c>
      <c r="E21" s="32" t="inlineStr">
        <is>
          <t>Verbatim free-text answer</t>
        </is>
      </c>
      <c r="F21" s="32" t="inlineStr">
        <is>
          <t>responses-&gt;&gt;'objections_before' — onboarding.tsx:254-258</t>
        </is>
      </c>
      <c r="G21" s="32" t="inlineStr">
        <is>
          <t>Per-response</t>
        </is>
      </c>
      <c r="H21" s="27" t="inlineStr">
        <is>
          <t>LIVE</t>
        </is>
      </c>
      <c r="I21" s="33" t="inlineStr">
        <is>
          <t>FULF-0590</t>
        </is>
      </c>
    </row>
    <row r="22" ht="30" customHeight="1">
      <c r="A22" s="23" t="inlineStr">
        <is>
          <t>"30 days sooner"</t>
        </is>
      </c>
      <c r="B22" s="37" t="n"/>
      <c r="C22" s="25" t="inlineStr">
        <is>
          <t>text</t>
        </is>
      </c>
      <c r="D22" s="25" t="inlineStr">
        <is>
          <t>RAW</t>
        </is>
      </c>
      <c r="E22" s="26" t="inlineStr">
        <is>
          <t>Verbatim free-text answer</t>
        </is>
      </c>
      <c r="F22" s="26" t="inlineStr">
        <is>
          <t>responses-&gt;&gt;'join_sooner' — onboarding.tsx:259-264</t>
        </is>
      </c>
      <c r="G22" s="26" t="inlineStr">
        <is>
          <t>Per-response</t>
        </is>
      </c>
      <c r="H22" s="27" t="inlineStr">
        <is>
          <t>LIVE</t>
        </is>
      </c>
      <c r="I22" s="28" t="inlineStr">
        <is>
          <t>FULF-0591</t>
        </is>
      </c>
    </row>
    <row r="23" ht="30" customHeight="1">
      <c r="A23" s="29" t="inlineStr">
        <is>
          <t>why chose us</t>
        </is>
      </c>
      <c r="B23" s="37" t="n"/>
      <c r="C23" s="31" t="inlineStr">
        <is>
          <t>text</t>
        </is>
      </c>
      <c r="D23" s="31" t="inlineStr">
        <is>
          <t>RAW</t>
        </is>
      </c>
      <c r="E23" s="32" t="inlineStr">
        <is>
          <t>Verbatim free-text answer</t>
        </is>
      </c>
      <c r="F23" s="32" t="inlineStr">
        <is>
          <t>responses-&gt;&gt;'why_us' — onboarding.tsx:265</t>
        </is>
      </c>
      <c r="G23" s="32" t="inlineStr">
        <is>
          <t>Per-response</t>
        </is>
      </c>
      <c r="H23" s="27" t="inlineStr">
        <is>
          <t>LIVE</t>
        </is>
      </c>
      <c r="I23" s="33" t="inlineStr">
        <is>
          <t>FULF-0592</t>
        </is>
      </c>
    </row>
    <row r="24" ht="30" customHeight="1">
      <c r="A24" s="23" t="inlineStr">
        <is>
          <t>#1 problem</t>
        </is>
      </c>
      <c r="B24" s="37" t="n"/>
      <c r="C24" s="25" t="inlineStr">
        <is>
          <t>text</t>
        </is>
      </c>
      <c r="D24" s="25" t="inlineStr">
        <is>
          <t>RAW</t>
        </is>
      </c>
      <c r="E24" s="26" t="inlineStr">
        <is>
          <t>Verbatim free-text answer</t>
        </is>
      </c>
      <c r="F24" s="26" t="inlineStr">
        <is>
          <t>responses-&gt;&gt;'current_pain' — onboarding.tsx:266-271</t>
        </is>
      </c>
      <c r="G24" s="26" t="inlineStr">
        <is>
          <t>Per-response</t>
        </is>
      </c>
      <c r="H24" s="27" t="inlineStr">
        <is>
          <t>LIVE</t>
        </is>
      </c>
      <c r="I24" s="28" t="inlineStr">
        <is>
          <t>FULF-0593</t>
        </is>
      </c>
    </row>
    <row r="25" ht="30" customHeight="1">
      <c r="A25" s="29" t="inlineStr">
        <is>
          <t>12-month identity</t>
        </is>
      </c>
      <c r="B25" s="37" t="n"/>
      <c r="C25" s="31" t="inlineStr">
        <is>
          <t>text</t>
        </is>
      </c>
      <c r="D25" s="31" t="inlineStr">
        <is>
          <t>RAW</t>
        </is>
      </c>
      <c r="E25" s="32" t="inlineStr">
        <is>
          <t>Verbatim free-text answer</t>
        </is>
      </c>
      <c r="F25" s="32" t="inlineStr">
        <is>
          <t>responses-&gt;&gt;'desired_identity' — onboarding.tsx:272-277</t>
        </is>
      </c>
      <c r="G25" s="32" t="inlineStr">
        <is>
          <t>Per-response</t>
        </is>
      </c>
      <c r="H25" s="27" t="inlineStr">
        <is>
          <t>LIVE</t>
        </is>
      </c>
      <c r="I25" s="33" t="inlineStr">
        <is>
          <t>FULF-0594</t>
        </is>
      </c>
    </row>
    <row r="26" ht="30" customHeight="1">
      <c r="A26" s="23" t="inlineStr">
        <is>
          <t>tried-before</t>
        </is>
      </c>
      <c r="B26" s="37" t="n"/>
      <c r="C26" s="25" t="inlineStr">
        <is>
          <t>text</t>
        </is>
      </c>
      <c r="D26" s="25" t="inlineStr">
        <is>
          <t>RAW</t>
        </is>
      </c>
      <c r="E26" s="26" t="inlineStr">
        <is>
          <t>Verbatim free-text answer</t>
        </is>
      </c>
      <c r="F26" s="26" t="inlineStr">
        <is>
          <t>responses-&gt;&gt;'tried_before' — onboarding.tsx:278-283</t>
        </is>
      </c>
      <c r="G26" s="26" t="inlineStr">
        <is>
          <t>Per-response</t>
        </is>
      </c>
      <c r="H26" s="27" t="inlineStr">
        <is>
          <t>LIVE</t>
        </is>
      </c>
      <c r="I26" s="28" t="inlineStr">
        <is>
          <t>FULF-0595</t>
        </is>
      </c>
    </row>
    <row r="27" ht="30" customHeight="1">
      <c r="A27" s="29" t="inlineStr">
        <is>
          <t>biggest fear</t>
        </is>
      </c>
      <c r="B27" s="37" t="n"/>
      <c r="C27" s="31" t="inlineStr">
        <is>
          <t>text</t>
        </is>
      </c>
      <c r="D27" s="31" t="inlineStr">
        <is>
          <t>RAW</t>
        </is>
      </c>
      <c r="E27" s="32" t="inlineStr">
        <is>
          <t>Verbatim free-text answer</t>
        </is>
      </c>
      <c r="F27" s="32" t="inlineStr">
        <is>
          <t>responses-&gt;&gt;'fear' — onboarding.tsx:284-289</t>
        </is>
      </c>
      <c r="G27" s="32" t="inlineStr">
        <is>
          <t>Per-response</t>
        </is>
      </c>
      <c r="H27" s="27" t="inlineStr">
        <is>
          <t>LIVE</t>
        </is>
      </c>
      <c r="I27" s="33" t="inlineStr">
        <is>
          <t>FULF-0596</t>
        </is>
      </c>
    </row>
    <row r="28" ht="30" customHeight="1">
      <c r="A28" s="23" t="inlineStr">
        <is>
          <t>belief shift</t>
        </is>
      </c>
      <c r="B28" s="37" t="n"/>
      <c r="C28" s="25" t="inlineStr">
        <is>
          <t>text</t>
        </is>
      </c>
      <c r="D28" s="25" t="inlineStr">
        <is>
          <t>RAW</t>
        </is>
      </c>
      <c r="E28" s="26" t="inlineStr">
        <is>
          <t>Verbatim free-text answer</t>
        </is>
      </c>
      <c r="F28" s="26" t="inlineStr">
        <is>
          <t>responses-&gt;&gt;'beliefs_shifted' — onboarding.tsx:290-295</t>
        </is>
      </c>
      <c r="G28" s="26" t="inlineStr">
        <is>
          <t>Per-response</t>
        </is>
      </c>
      <c r="H28" s="27" t="inlineStr">
        <is>
          <t>LIVE</t>
        </is>
      </c>
      <c r="I28" s="28" t="inlineStr">
        <is>
          <t>FULF-0597</t>
        </is>
      </c>
    </row>
    <row r="29" ht="30" customHeight="1">
      <c r="A29" s="29" t="inlineStr">
        <is>
          <t>best content type</t>
        </is>
      </c>
      <c r="B29" s="37" t="n"/>
      <c r="C29" s="31" t="inlineStr">
        <is>
          <t>text (categorical)</t>
        </is>
      </c>
      <c r="D29" s="31" t="inlineStr">
        <is>
          <t>RAW</t>
        </is>
      </c>
      <c r="E29" s="32" t="inlineStr">
        <is>
          <t>Selected option value</t>
        </is>
      </c>
      <c r="F29" s="32" t="inlineStr">
        <is>
          <t>responses-&gt;&gt;'content_type_helped' — onboarding.tsx:296-302 (choice: Reels/Stories/YouTube/DMs/Ads)</t>
        </is>
      </c>
      <c r="G29" s="32" t="inlineStr">
        <is>
          <t>Per-response</t>
        </is>
      </c>
      <c r="H29" s="27" t="inlineStr">
        <is>
          <t>LIVE</t>
        </is>
      </c>
      <c r="I29" s="33" t="inlineStr">
        <is>
          <t>FULF-0598</t>
        </is>
      </c>
    </row>
    <row r="30" ht="30" customHeight="1">
      <c r="A30" s="23" t="inlineStr">
        <is>
          <t>experience level</t>
        </is>
      </c>
      <c r="B30" s="37" t="n"/>
      <c r="C30" s="25" t="inlineStr">
        <is>
          <t>text (categorical)</t>
        </is>
      </c>
      <c r="D30" s="25" t="inlineStr">
        <is>
          <t>RAW</t>
        </is>
      </c>
      <c r="E30" s="26" t="inlineStr">
        <is>
          <t>Selected option value</t>
        </is>
      </c>
      <c r="F30" s="26" t="inlineStr">
        <is>
          <t>responses-&gt;&gt;'experience_level' — onboarding.tsx:303-309 (choice: Beginner/Intermediate/Advanced)</t>
        </is>
      </c>
      <c r="G30" s="26" t="inlineStr">
        <is>
          <t>Per-response</t>
        </is>
      </c>
      <c r="H30" s="27" t="inlineStr">
        <is>
          <t>LIVE</t>
        </is>
      </c>
      <c r="I30" s="28" t="inlineStr">
        <is>
          <t>FULF-0599</t>
        </is>
      </c>
    </row>
    <row r="31" ht="30" customHeight="1">
      <c r="A31" s="29" t="inlineStr">
        <is>
          <t>current monthly revenue</t>
        </is>
      </c>
      <c r="B31" s="37" t="n"/>
      <c r="C31" s="31" t="inlineStr">
        <is>
          <t>text — NOT parsed as $ despite the given unit=$</t>
        </is>
      </c>
      <c r="D31" s="31" t="inlineStr">
        <is>
          <t>RAW</t>
        </is>
      </c>
      <c r="E31" s="32" t="inlineStr">
        <is>
          <t>Verbatim free-text answer</t>
        </is>
      </c>
      <c r="F31" s="32" t="inlineStr">
        <is>
          <t>responses-&gt;&gt;'current_revenue' — onboarding.tsx:314-317 (type: short text)</t>
        </is>
      </c>
      <c r="G31" s="32" t="inlineStr">
        <is>
          <t>Per-response</t>
        </is>
      </c>
      <c r="H31" s="27" t="inlineStr">
        <is>
          <t>LIVE</t>
        </is>
      </c>
      <c r="I31" s="33" t="inlineStr">
        <is>
          <t>FULF-0600</t>
        </is>
      </c>
    </row>
    <row r="32" ht="30" customHeight="1">
      <c r="A32" s="23" t="inlineStr">
        <is>
          <t>target revenue (90d)</t>
        </is>
      </c>
      <c r="B32" s="37" t="n"/>
      <c r="C32" s="25" t="inlineStr">
        <is>
          <t>text — NOT parsed as $ despite the given unit=$</t>
        </is>
      </c>
      <c r="D32" s="25" t="inlineStr">
        <is>
          <t>RAW</t>
        </is>
      </c>
      <c r="E32" s="26" t="inlineStr">
        <is>
          <t>Verbatim free-text answer</t>
        </is>
      </c>
      <c r="F32" s="26" t="inlineStr">
        <is>
          <t>responses-&gt;&gt;'target_revenue_90d' — onboarding.tsx:319-323</t>
        </is>
      </c>
      <c r="G32" s="26" t="inlineStr">
        <is>
          <t>Per-response</t>
        </is>
      </c>
      <c r="H32" s="27" t="inlineStr">
        <is>
          <t>LIVE</t>
        </is>
      </c>
      <c r="I32" s="28" t="inlineStr">
        <is>
          <t>FULF-0601</t>
        </is>
      </c>
    </row>
    <row r="33" ht="30" customHeight="1">
      <c r="A33" s="29" t="inlineStr">
        <is>
          <t>single-outcome goal</t>
        </is>
      </c>
      <c r="B33" s="37" t="n"/>
      <c r="C33" s="31" t="inlineStr">
        <is>
          <t>text</t>
        </is>
      </c>
      <c r="D33" s="31" t="inlineStr">
        <is>
          <t>RAW</t>
        </is>
      </c>
      <c r="E33" s="32" t="inlineStr">
        <is>
          <t>Verbatim free-text answer</t>
        </is>
      </c>
      <c r="F33" s="32" t="inlineStr">
        <is>
          <t>responses-&gt;&gt;'north_star_outcome' — onboarding.tsx:325-329</t>
        </is>
      </c>
      <c r="G33" s="32" t="inlineStr">
        <is>
          <t>Per-response</t>
        </is>
      </c>
      <c r="H33" s="27" t="inlineStr">
        <is>
          <t>LIVE</t>
        </is>
      </c>
      <c r="I33" s="33" t="inlineStr">
        <is>
          <t>FULF-0602</t>
        </is>
      </c>
    </row>
    <row r="34" ht="30" customHeight="1">
      <c r="A34" s="23" t="inlineStr">
        <is>
          <t>30/60/90 success measure</t>
        </is>
      </c>
      <c r="B34" s="37" t="n"/>
      <c r="C34" s="25" t="inlineStr">
        <is>
          <t>text</t>
        </is>
      </c>
      <c r="D34" s="25" t="inlineStr">
        <is>
          <t>RAW</t>
        </is>
      </c>
      <c r="E34" s="26" t="inlineStr">
        <is>
          <t>Verbatim free-text answer</t>
        </is>
      </c>
      <c r="F34" s="26" t="inlineStr">
        <is>
          <t>responses-&gt;&gt;'success_metric' — onboarding.tsx:331-335</t>
        </is>
      </c>
      <c r="G34" s="26" t="inlineStr">
        <is>
          <t>Per-response</t>
        </is>
      </c>
      <c r="H34" s="27" t="inlineStr">
        <is>
          <t>LIVE</t>
        </is>
      </c>
      <c r="I34" s="28" t="inlineStr">
        <is>
          <t>FULF-0603</t>
        </is>
      </c>
    </row>
    <row r="35" ht="30" customHeight="1">
      <c r="A35" s="29" t="inlineStr">
        <is>
          <t>current offer</t>
        </is>
      </c>
      <c r="B35" s="37" t="n"/>
      <c r="C35" s="31" t="inlineStr">
        <is>
          <t>text</t>
        </is>
      </c>
      <c r="D35" s="31" t="inlineStr">
        <is>
          <t>RAW</t>
        </is>
      </c>
      <c r="E35" s="32" t="inlineStr">
        <is>
          <t>Verbatim free-text answer</t>
        </is>
      </c>
      <c r="F35" s="32" t="inlineStr">
        <is>
          <t>responses-&gt;&gt;'current_offer' — onboarding.tsx:337-341</t>
        </is>
      </c>
      <c r="G35" s="32" t="inlineStr">
        <is>
          <t>Per-response</t>
        </is>
      </c>
      <c r="H35" s="27" t="inlineStr">
        <is>
          <t>LIVE</t>
        </is>
      </c>
      <c r="I35" s="33" t="inlineStr">
        <is>
          <t>FULF-0604</t>
        </is>
      </c>
    </row>
    <row r="36" ht="30" customHeight="1">
      <c r="A36" s="23" t="inlineStr">
        <is>
          <t>audience size/platform</t>
        </is>
      </c>
      <c r="B36" s="37" t="n"/>
      <c r="C36" s="25" t="inlineStr">
        <is>
          <t>text</t>
        </is>
      </c>
      <c r="D36" s="25" t="inlineStr">
        <is>
          <t>RAW</t>
        </is>
      </c>
      <c r="E36" s="26" t="inlineStr">
        <is>
          <t>Verbatim free-text answer</t>
        </is>
      </c>
      <c r="F36" s="26" t="inlineStr">
        <is>
          <t>responses-&gt;&gt;'audience_size' — onboarding.tsx:343-347</t>
        </is>
      </c>
      <c r="G36" s="26" t="inlineStr">
        <is>
          <t>Per-response</t>
        </is>
      </c>
      <c r="H36" s="27" t="inlineStr">
        <is>
          <t>LIVE</t>
        </is>
      </c>
      <c r="I36" s="28" t="inlineStr">
        <is>
          <t>FULF-0605</t>
        </is>
      </c>
    </row>
    <row r="37" ht="30" customHeight="1">
      <c r="A37" s="29" t="inlineStr">
        <is>
          <t>funnel walkthrough</t>
        </is>
      </c>
      <c r="B37" s="37" t="n"/>
      <c r="C37" s="31" t="inlineStr">
        <is>
          <t>text</t>
        </is>
      </c>
      <c r="D37" s="31" t="inlineStr">
        <is>
          <t>RAW</t>
        </is>
      </c>
      <c r="E37" s="32" t="inlineStr">
        <is>
          <t>Verbatim free-text answer</t>
        </is>
      </c>
      <c r="F37" s="32" t="inlineStr">
        <is>
          <t>responses-&gt;&gt;'current_funnel' — onboarding.tsx:349-353</t>
        </is>
      </c>
      <c r="G37" s="32" t="inlineStr">
        <is>
          <t>Per-response</t>
        </is>
      </c>
      <c r="H37" s="27" t="inlineStr">
        <is>
          <t>LIVE</t>
        </is>
      </c>
      <c r="I37" s="33" t="inlineStr">
        <is>
          <t>FULF-0606</t>
        </is>
      </c>
    </row>
    <row r="38" ht="30" customHeight="1">
      <c r="A38" s="23" t="inlineStr">
        <is>
          <t>biggest bottleneck</t>
        </is>
      </c>
      <c r="B38" s="37" t="n"/>
      <c r="C38" s="25" t="inlineStr">
        <is>
          <t>text</t>
        </is>
      </c>
      <c r="D38" s="25" t="inlineStr">
        <is>
          <t>RAW</t>
        </is>
      </c>
      <c r="E38" s="26" t="inlineStr">
        <is>
          <t>Verbatim free-text answer</t>
        </is>
      </c>
      <c r="F38" s="26" t="inlineStr">
        <is>
          <t>responses-&gt;&gt;'biggest_bottleneck' — onboarding.tsx:355-359</t>
        </is>
      </c>
      <c r="G38" s="26" t="inlineStr">
        <is>
          <t>Per-response</t>
        </is>
      </c>
      <c r="H38" s="27" t="inlineStr">
        <is>
          <t>LIVE</t>
        </is>
      </c>
      <c r="I38" s="28" t="inlineStr">
        <is>
          <t>FULF-0607</t>
        </is>
      </c>
    </row>
    <row r="39" ht="30" customHeight="1">
      <c r="A39" s="29" t="inlineStr">
        <is>
          <t>team composition</t>
        </is>
      </c>
      <c r="B39" s="37" t="n"/>
      <c r="C39" s="31" t="inlineStr">
        <is>
          <t>text</t>
        </is>
      </c>
      <c r="D39" s="31" t="inlineStr">
        <is>
          <t>RAW</t>
        </is>
      </c>
      <c r="E39" s="32" t="inlineStr">
        <is>
          <t>Verbatim free-text answer</t>
        </is>
      </c>
      <c r="F39" s="32" t="inlineStr">
        <is>
          <t>responses-&gt;&gt;'team_setup' — onboarding.tsx:361-365</t>
        </is>
      </c>
      <c r="G39" s="32" t="inlineStr">
        <is>
          <t>Per-response</t>
        </is>
      </c>
      <c r="H39" s="27" t="inlineStr">
        <is>
          <t>LIVE</t>
        </is>
      </c>
      <c r="I39" s="33" t="inlineStr">
        <is>
          <t>FULF-0608</t>
        </is>
      </c>
    </row>
    <row r="40" ht="30" customHeight="1">
      <c r="A40" s="23" t="inlineStr">
        <is>
          <t>tools used</t>
        </is>
      </c>
      <c r="B40" s="37" t="n"/>
      <c r="C40" s="25" t="inlineStr">
        <is>
          <t>text</t>
        </is>
      </c>
      <c r="D40" s="25" t="inlineStr">
        <is>
          <t>RAW</t>
        </is>
      </c>
      <c r="E40" s="26" t="inlineStr">
        <is>
          <t>Verbatim free-text answer</t>
        </is>
      </c>
      <c r="F40" s="26" t="inlineStr">
        <is>
          <t>responses-&gt;&gt;'tech_stack' — onboarding.tsx:367-371</t>
        </is>
      </c>
      <c r="G40" s="26" t="inlineStr">
        <is>
          <t>Per-response</t>
        </is>
      </c>
      <c r="H40" s="27" t="inlineStr">
        <is>
          <t>LIVE</t>
        </is>
      </c>
      <c r="I40" s="28" t="inlineStr">
        <is>
          <t>FULF-0609</t>
        </is>
      </c>
    </row>
    <row r="41" ht="30" customHeight="1">
      <c r="A41" s="29" t="inlineStr">
        <is>
          <t>hours/week</t>
        </is>
      </c>
      <c r="B41" s="37" t="n"/>
      <c r="C41" s="31" t="inlineStr">
        <is>
          <t>text (categorical)</t>
        </is>
      </c>
      <c r="D41" s="31" t="inlineStr">
        <is>
          <t>RAW</t>
        </is>
      </c>
      <c r="E41" s="32" t="inlineStr">
        <is>
          <t>Selected option value</t>
        </is>
      </c>
      <c r="F41" s="32" t="inlineStr">
        <is>
          <t>responses-&gt;&gt;'weekly_hours' — onboarding.tsx:373-378 (choice: &lt;5/5-10/10-20/20-40/40+)</t>
        </is>
      </c>
      <c r="G41" s="32" t="inlineStr">
        <is>
          <t>Per-response</t>
        </is>
      </c>
      <c r="H41" s="27" t="inlineStr">
        <is>
          <t>LIVE</t>
        </is>
      </c>
      <c r="I41" s="33" t="inlineStr">
        <is>
          <t>FULF-0610</t>
        </is>
      </c>
    </row>
    <row r="42" ht="30" customHeight="1">
      <c r="A42" s="23" t="inlineStr">
        <is>
          <t>learning style</t>
        </is>
      </c>
      <c r="B42" s="37" t="n"/>
      <c r="C42" s="25" t="inlineStr">
        <is>
          <t>text (categorical)</t>
        </is>
      </c>
      <c r="D42" s="25" t="inlineStr">
        <is>
          <t>RAW</t>
        </is>
      </c>
      <c r="E42" s="26" t="inlineStr">
        <is>
          <t>Selected option value</t>
        </is>
      </c>
      <c r="F42" s="26" t="inlineStr">
        <is>
          <t>responses-&gt;&gt;'learning_style' — onboarding.tsx:380-385</t>
        </is>
      </c>
      <c r="G42" s="26" t="inlineStr">
        <is>
          <t>Per-response</t>
        </is>
      </c>
      <c r="H42" s="27" t="inlineStr">
        <is>
          <t>LIVE</t>
        </is>
      </c>
      <c r="I42" s="28" t="inlineStr">
        <is>
          <t>FULF-0611</t>
        </is>
      </c>
    </row>
    <row r="43" ht="30" customHeight="1">
      <c r="A43" s="29" t="inlineStr">
        <is>
          <t>accountability preference</t>
        </is>
      </c>
      <c r="B43" s="37" t="n"/>
      <c r="C43" s="31" t="inlineStr">
        <is>
          <t>text (categorical)</t>
        </is>
      </c>
      <c r="D43" s="31" t="inlineStr">
        <is>
          <t>RAW</t>
        </is>
      </c>
      <c r="E43" s="32" t="inlineStr">
        <is>
          <t>Selected option value</t>
        </is>
      </c>
      <c r="F43" s="32" t="inlineStr">
        <is>
          <t>responses-&gt;&gt;'accountability_pref' — onboarding.tsx:387-398</t>
        </is>
      </c>
      <c r="G43" s="32" t="inlineStr">
        <is>
          <t>Per-response</t>
        </is>
      </c>
      <c r="H43" s="27" t="inlineStr">
        <is>
          <t>LIVE</t>
        </is>
      </c>
      <c r="I43" s="33" t="inlineStr">
        <is>
          <t>FULF-0612</t>
        </is>
      </c>
    </row>
    <row r="44" ht="30" customHeight="1">
      <c r="A44" s="23" t="inlineStr">
        <is>
          <t>personal factors</t>
        </is>
      </c>
      <c r="B44" s="37" t="n"/>
      <c r="C44" s="25" t="inlineStr">
        <is>
          <t>text</t>
        </is>
      </c>
      <c r="D44" s="25" t="inlineStr">
        <is>
          <t>RAW</t>
        </is>
      </c>
      <c r="E44" s="26" t="inlineStr">
        <is>
          <t>Verbatim free-text answer</t>
        </is>
      </c>
      <c r="F44" s="26" t="inlineStr">
        <is>
          <t>responses-&gt;&gt;'blockers_personal' — onboarding.tsx:400-404</t>
        </is>
      </c>
      <c r="G44" s="26" t="inlineStr">
        <is>
          <t>Per-response</t>
        </is>
      </c>
      <c r="H44" s="27" t="inlineStr">
        <is>
          <t>LIVE</t>
        </is>
      </c>
      <c r="I44" s="28" t="inlineStr">
        <is>
          <t>FULF-0613</t>
        </is>
      </c>
    </row>
    <row r="45" ht="30" customHeight="1">
      <c r="A45" s="29" t="inlineStr">
        <is>
          <t>what's working</t>
        </is>
      </c>
      <c r="B45" s="37" t="n"/>
      <c r="C45" s="31" t="inlineStr">
        <is>
          <t>text</t>
        </is>
      </c>
      <c r="D45" s="31" t="inlineStr">
        <is>
          <t>RAW</t>
        </is>
      </c>
      <c r="E45" s="32" t="inlineStr">
        <is>
          <t>Verbatim free-text answer</t>
        </is>
      </c>
      <c r="F45" s="32" t="inlineStr">
        <is>
          <t>responses-&gt;&gt;'wins_so_far' — onboarding.tsx:406-410</t>
        </is>
      </c>
      <c r="G45" s="32" t="inlineStr">
        <is>
          <t>Per-response</t>
        </is>
      </c>
      <c r="H45" s="27" t="inlineStr">
        <is>
          <t>LIVE</t>
        </is>
      </c>
      <c r="I45" s="33" t="inlineStr">
        <is>
          <t>FULF-0614</t>
        </is>
      </c>
    </row>
    <row r="46" ht="30" customHeight="1">
      <c r="A46" s="23" t="inlineStr">
        <is>
          <t>non-negotiables</t>
        </is>
      </c>
      <c r="B46" s="37" t="n"/>
      <c r="C46" s="25" t="inlineStr">
        <is>
          <t>text</t>
        </is>
      </c>
      <c r="D46" s="25" t="inlineStr">
        <is>
          <t>RAW</t>
        </is>
      </c>
      <c r="E46" s="26" t="inlineStr">
        <is>
          <t>Verbatim free-text answer</t>
        </is>
      </c>
      <c r="F46" s="26" t="inlineStr">
        <is>
          <t>responses-&gt;&gt;'non_negotiables' — onboarding.tsx:412-416</t>
        </is>
      </c>
      <c r="G46" s="26" t="inlineStr">
        <is>
          <t>Per-response</t>
        </is>
      </c>
      <c r="H46" s="27" t="inlineStr">
        <is>
          <t>LIVE</t>
        </is>
      </c>
      <c r="I46" s="28" t="inlineStr">
        <is>
          <t>FULF-0615</t>
        </is>
      </c>
    </row>
    <row r="47" ht="30" customHeight="1">
      <c r="A47" s="29" t="inlineStr">
        <is>
          <t>time zone</t>
        </is>
      </c>
      <c r="B47" s="37" t="n"/>
      <c r="C47" s="31" t="inlineStr">
        <is>
          <t>text</t>
        </is>
      </c>
      <c r="D47" s="31" t="inlineStr">
        <is>
          <t>RAW</t>
        </is>
      </c>
      <c r="E47" s="32" t="inlineStr">
        <is>
          <t>Verbatim free-text answer</t>
        </is>
      </c>
      <c r="F47" s="32" t="inlineStr">
        <is>
          <t>responses-&gt;&gt;'timezone' — onboarding.tsx:419</t>
        </is>
      </c>
      <c r="G47" s="32" t="inlineStr">
        <is>
          <t>Per-response</t>
        </is>
      </c>
      <c r="H47" s="27" t="inlineStr">
        <is>
          <t>LIVE</t>
        </is>
      </c>
      <c r="I47" s="33" t="inlineStr">
        <is>
          <t>FULF-0616</t>
        </is>
      </c>
    </row>
    <row r="48" ht="30" customHeight="1">
      <c r="A48" s="23" t="inlineStr">
        <is>
          <t>best contact method</t>
        </is>
      </c>
      <c r="B48" s="37" t="n"/>
      <c r="C48" s="25" t="inlineStr">
        <is>
          <t>text</t>
        </is>
      </c>
      <c r="D48" s="25" t="inlineStr">
        <is>
          <t>RAW</t>
        </is>
      </c>
      <c r="E48" s="26" t="inlineStr">
        <is>
          <t>Verbatim free-text answer</t>
        </is>
      </c>
      <c r="F48" s="26" t="inlineStr">
        <is>
          <t>responses-&gt;&gt;'best_contact' — onboarding.tsx:420</t>
        </is>
      </c>
      <c r="G48" s="26" t="inlineStr">
        <is>
          <t>Per-response</t>
        </is>
      </c>
      <c r="H48" s="27" t="inlineStr">
        <is>
          <t>LIVE</t>
        </is>
      </c>
      <c r="I48" s="28" t="inlineStr">
        <is>
          <t>FULF-0617</t>
        </is>
      </c>
    </row>
    <row r="49" ht="30" customHeight="1">
      <c r="A49" s="29" t="inlineStr">
        <is>
          <t>start date</t>
        </is>
      </c>
      <c r="B49" s="37" t="n"/>
      <c r="C49" s="31" t="inlineStr">
        <is>
          <t>text — not a date-typed field</t>
        </is>
      </c>
      <c r="D49" s="31" t="inlineStr">
        <is>
          <t>RAW</t>
        </is>
      </c>
      <c r="E49" s="32" t="inlineStr">
        <is>
          <t>Verbatim free-text answer</t>
        </is>
      </c>
      <c r="F49" s="32" t="inlineStr">
        <is>
          <t>responses-&gt;&gt;'kickoff_date' — onboarding.tsx:421-426</t>
        </is>
      </c>
      <c r="G49" s="32" t="inlineStr">
        <is>
          <t>Per-response</t>
        </is>
      </c>
      <c r="H49" s="27" t="inlineStr">
        <is>
          <t>LIVE</t>
        </is>
      </c>
      <c r="I49" s="33" t="inlineStr">
        <is>
          <t>FULF-0618</t>
        </is>
      </c>
    </row>
    <row r="50" ht="6" customHeight="1"/>
    <row r="51" ht="20" customHeight="1">
      <c r="A51" s="22" t="inlineStr">
        <is>
          <t>PATTERN ANALYSIS</t>
        </is>
      </c>
    </row>
    <row r="52" ht="30" customHeight="1">
      <c r="A52" s="23" t="inlineStr">
        <is>
          <t>Bottlenecks across N intakes</t>
        </is>
      </c>
      <c r="B52" s="37" t="n"/>
      <c r="C52" s="25" t="inlineStr">
        <is>
          <t>count (sampleSize) + qualitative list</t>
        </is>
      </c>
      <c r="D52" s="25" t="inlineStr">
        <is>
          <t>DERIVED (AI)</t>
        </is>
      </c>
      <c r="E52" s="26" t="inlineStr">
        <is>
          <t>AI summarizes recurring friction patterns across BOTTLENECK_KEYS answers in the date range; onSuccess shown at onboarding.tsx:858-883</t>
        </is>
      </c>
      <c r="F52" s="26" t="inlineStr">
        <is>
          <t>src/lib/intake-insights.functions.ts:95-170 analyzeIntakesAggregate — Lovable AI Gateway (gemini-2.5-flash), reading onboarding_responses.responses for objections_before/join_sooner/fear across all intakes in the selected range</t>
        </is>
      </c>
      <c r="G52" s="26" t="inlineStr">
        <is>
          <t>User-selected range (Today/3d/7d/30d/MTD/All/Custom) — onboarding.tsx:486-510</t>
        </is>
      </c>
      <c r="H52" s="27" t="inlineStr">
        <is>
          <t>LIVE</t>
        </is>
      </c>
      <c r="I52" s="28" t="inlineStr">
        <is>
          <t>FULF-0619</t>
        </is>
      </c>
    </row>
    <row r="53" ht="30" customHeight="1">
      <c r="A53" s="29" t="inlineStr">
        <is>
          <t>Double down across N intakes</t>
        </is>
      </c>
      <c r="B53" s="37" t="n"/>
      <c r="C53" s="31" t="inlineStr">
        <is>
          <t>count + qualitative list</t>
        </is>
      </c>
      <c r="D53" s="31" t="inlineStr">
        <is>
          <t>DERIVED (AI)</t>
        </is>
      </c>
      <c r="E53" s="32" t="inlineStr">
        <is>
          <t>Same AI call as 0619</t>
        </is>
      </c>
      <c r="F53" s="32" t="inlineStr">
        <is>
          <t>Same function as 0619 — DOUBLE_DOWN_KEYS (first_touchpoint/pivotal_moment/beliefs_shifted/content_type_helped)</t>
        </is>
      </c>
      <c r="G53" s="32" t="inlineStr">
        <is>
          <t>Same range as 0619</t>
        </is>
      </c>
      <c r="H53" s="27" t="inlineStr">
        <is>
          <t>LIVE</t>
        </is>
      </c>
      <c r="I53" s="33" t="inlineStr">
        <is>
          <t>FULF-0620</t>
        </is>
      </c>
    </row>
    <row r="54" ht="6" customHeight="1"/>
    <row r="55" ht="20" customHeight="1">
      <c r="A55" s="22" t="inlineStr">
        <is>
          <t>THEMES TAB</t>
        </is>
      </c>
    </row>
    <row r="56" ht="30" customHeight="1">
      <c r="A56" s="23" t="inlineStr">
        <is>
          <t>Pain points</t>
        </is>
      </c>
      <c r="B56" s="37" t="n"/>
      <c r="C56" s="25" t="inlineStr">
        <is>
          <t>count (per phrase)</t>
        </is>
      </c>
      <c r="D56" s="25" t="inlineStr">
        <is>
          <t>AGGREGATED</t>
        </is>
      </c>
      <c r="E56" s="26" t="inlineStr">
        <is>
          <t>2-word (bigram) phrase frequency count across all responses, stopword-filtered, phrases with count&gt;=2 kept, top 15 shown — onboarding.tsx:184-205</t>
        </is>
      </c>
      <c r="F56" s="26" t="inlineStr">
        <is>
          <t>onboarding.tsx:1170-1213,1221-1246 topPhrases() over responses.current_pain + tried_before</t>
        </is>
      </c>
      <c r="G56" s="26" t="inlineStr">
        <is>
          <t>All-time (all fetched responses)</t>
        </is>
      </c>
      <c r="H56" s="27" t="inlineStr">
        <is>
          <t>LIVE</t>
        </is>
      </c>
      <c r="I56" s="28" t="inlineStr">
        <is>
          <t>FULF-0621</t>
        </is>
      </c>
    </row>
    <row r="57" ht="30" customHeight="1">
      <c r="A57" s="29" t="inlineStr">
        <is>
          <t>Pivotal moments</t>
        </is>
      </c>
      <c r="B57" s="37" t="n"/>
      <c r="C57" s="31" t="inlineStr">
        <is>
          <t>count</t>
        </is>
      </c>
      <c r="D57" s="31" t="inlineStr">
        <is>
          <t>AGGREGATED</t>
        </is>
      </c>
      <c r="E57" s="32" t="inlineStr">
        <is>
          <t>Same topPhrases() algorithm as 0621</t>
        </is>
      </c>
      <c r="F57" s="32" t="inlineStr">
        <is>
          <t>onboarding.tsx:1228-1233 — pivotal_moment + beliefs_shifted</t>
        </is>
      </c>
      <c r="G57" s="32" t="inlineStr">
        <is>
          <t>All-time</t>
        </is>
      </c>
      <c r="H57" s="27" t="inlineStr">
        <is>
          <t>LIVE</t>
        </is>
      </c>
      <c r="I57" s="33" t="inlineStr">
        <is>
          <t>FULF-0622</t>
        </is>
      </c>
    </row>
    <row r="58" ht="30" customHeight="1">
      <c r="A58" s="23" t="inlineStr">
        <is>
          <t>Objections</t>
        </is>
      </c>
      <c r="B58" s="37" t="n"/>
      <c r="C58" s="25" t="inlineStr">
        <is>
          <t>count</t>
        </is>
      </c>
      <c r="D58" s="25" t="inlineStr">
        <is>
          <t>AGGREGATED</t>
        </is>
      </c>
      <c r="E58" s="26" t="inlineStr">
        <is>
          <t>Same topPhrases() algorithm as 0621</t>
        </is>
      </c>
      <c r="F58" s="26" t="inlineStr">
        <is>
          <t>onboarding.tsx:1234-1239 — objections_before + fear</t>
        </is>
      </c>
      <c r="G58" s="26" t="inlineStr">
        <is>
          <t>All-time</t>
        </is>
      </c>
      <c r="H58" s="27" t="inlineStr">
        <is>
          <t>LIVE</t>
        </is>
      </c>
      <c r="I58" s="28" t="inlineStr">
        <is>
          <t>FULF-0623</t>
        </is>
      </c>
    </row>
    <row r="59" ht="30" customHeight="1">
      <c r="A59" s="29" t="inlineStr">
        <is>
          <t>Desired identity</t>
        </is>
      </c>
      <c r="B59" s="37" t="n"/>
      <c r="C59" s="31" t="inlineStr">
        <is>
          <t>count</t>
        </is>
      </c>
      <c r="D59" s="31" t="inlineStr">
        <is>
          <t>AGGREGATED</t>
        </is>
      </c>
      <c r="E59" s="32" t="inlineStr">
        <is>
          <t>Same topPhrases() algorithm as 0621</t>
        </is>
      </c>
      <c r="F59" s="32" t="inlineStr">
        <is>
          <t>onboarding.tsx:1240-1245 — desired_identity + why_us</t>
        </is>
      </c>
      <c r="G59" s="32" t="inlineStr">
        <is>
          <t>All-time</t>
        </is>
      </c>
      <c r="H59" s="27" t="inlineStr">
        <is>
          <t>LIVE</t>
        </is>
      </c>
      <c r="I59" s="33" t="inlineStr">
        <is>
          <t>FULF-0624</t>
        </is>
      </c>
    </row>
    <row r="60" ht="6" customHeight="1"/>
  </sheetData>
  <autoFilter ref="A4:I59"/>
  <mergeCells count="5">
    <mergeCell ref="A51:I51"/>
    <mergeCell ref="A11:I11"/>
    <mergeCell ref="A5:I5"/>
    <mergeCell ref="A18:I18"/>
    <mergeCell ref="A55:I5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Fulfillment</t>
        </is>
      </c>
    </row>
    <row r="2">
      <c r="A2" s="21" t="inlineStr">
        <is>
          <t>21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MENTEE SUMMARY</t>
        </is>
      </c>
    </row>
    <row r="6" ht="30" customHeight="1">
      <c r="A6" s="23" t="inlineStr">
        <is>
          <t>Pre-close summary</t>
        </is>
      </c>
      <c r="B6" s="37" t="n"/>
      <c r="C6" s="25" t="inlineStr">
        <is>
          <t>text</t>
        </is>
      </c>
      <c r="D6" s="25" t="inlineStr">
        <is>
          <t>RAW</t>
        </is>
      </c>
      <c r="E6" s="26" t="inlineStr">
        <is>
          <t>Stored text, generated once (or re-generated) by an AI call elsewhere, displayed verbatim here</t>
        </is>
      </c>
      <c r="F6" s="26" t="inlineStr">
        <is>
          <t>public.clients.pre_close_summary — src/routes/_authenticated.fulfillment.tsx:30,54,208-217; written by AI via generatePreCloseFn (src/lib/pre-close.functions.ts) triggered from mentee-renewal-panel.tsx:989-1006</t>
        </is>
      </c>
      <c r="G6" s="26" t="inlineStr">
        <is>
          <t>Point-in-time (whenever last generated)</t>
        </is>
      </c>
      <c r="H6" s="27" t="inlineStr">
        <is>
          <t>LIVE</t>
        </is>
      </c>
      <c r="I6" s="28" t="inlineStr">
        <is>
          <t>FULF-0625</t>
        </is>
      </c>
    </row>
    <row r="7" ht="30" customHeight="1">
      <c r="A7" s="29" t="inlineStr">
        <is>
          <t>Stated pain</t>
        </is>
      </c>
      <c r="B7" s="37" t="n"/>
      <c r="C7" s="31" t="inlineStr">
        <is>
          <t>text</t>
        </is>
      </c>
      <c r="D7" s="31" t="inlineStr">
        <is>
          <t>RAW</t>
        </is>
      </c>
      <c r="E7" s="32" t="inlineStr">
        <is>
          <t>Latest onboarding response for the selected client</t>
        </is>
      </c>
      <c r="F7" s="32" t="inlineStr">
        <is>
          <t>onboarding_responses.responses-&gt;&gt;'current_pain' for the most recent submission by client_id — fulfillment.tsx:63-76,106,220</t>
        </is>
      </c>
      <c r="G7" s="32" t="inlineStr">
        <is>
          <t>Latest submission</t>
        </is>
      </c>
      <c r="H7" s="27" t="inlineStr">
        <is>
          <t>LIVE</t>
        </is>
      </c>
      <c r="I7" s="33" t="inlineStr">
        <is>
          <t>FULF-0626</t>
        </is>
      </c>
    </row>
    <row r="8" ht="30" customHeight="1">
      <c r="A8" s="23" t="inlineStr">
        <is>
          <t>Desired identity</t>
        </is>
      </c>
      <c r="B8" s="37" t="n"/>
      <c r="C8" s="25" t="inlineStr">
        <is>
          <t>text</t>
        </is>
      </c>
      <c r="D8" s="25" t="inlineStr">
        <is>
          <t>RAW</t>
        </is>
      </c>
      <c r="E8" s="26" t="inlineStr">
        <is>
          <t>Latest onboarding response</t>
        </is>
      </c>
      <c r="F8" s="26" t="inlineStr">
        <is>
          <t>Same query as 0626 — responses-&gt;&gt;'desired_identity'</t>
        </is>
      </c>
      <c r="G8" s="26" t="inlineStr">
        <is>
          <t>Latest submission</t>
        </is>
      </c>
      <c r="H8" s="27" t="inlineStr">
        <is>
          <t>LIVE</t>
        </is>
      </c>
      <c r="I8" s="28" t="inlineStr">
        <is>
          <t>FULF-0627</t>
        </is>
      </c>
    </row>
    <row r="9" ht="30" customHeight="1">
      <c r="A9" s="29" t="inlineStr">
        <is>
          <t>What they've tried</t>
        </is>
      </c>
      <c r="B9" s="37" t="n"/>
      <c r="C9" s="31" t="inlineStr">
        <is>
          <t>text</t>
        </is>
      </c>
      <c r="D9" s="31" t="inlineStr">
        <is>
          <t>RAW</t>
        </is>
      </c>
      <c r="E9" s="32" t="inlineStr">
        <is>
          <t>Latest onboarding response</t>
        </is>
      </c>
      <c r="F9" s="32" t="inlineStr">
        <is>
          <t>Same query — responses-&gt;&gt;'tried_before'</t>
        </is>
      </c>
      <c r="G9" s="32" t="inlineStr">
        <is>
          <t>Latest submission</t>
        </is>
      </c>
      <c r="H9" s="27" t="inlineStr">
        <is>
          <t>LIVE</t>
        </is>
      </c>
      <c r="I9" s="33" t="inlineStr">
        <is>
          <t>FULF-0628</t>
        </is>
      </c>
    </row>
    <row r="10" ht="30" customHeight="1">
      <c r="A10" s="23" t="inlineStr">
        <is>
          <t>Biggest fear</t>
        </is>
      </c>
      <c r="B10" s="37" t="n"/>
      <c r="C10" s="25" t="inlineStr">
        <is>
          <t>text</t>
        </is>
      </c>
      <c r="D10" s="25" t="inlineStr">
        <is>
          <t>RAW</t>
        </is>
      </c>
      <c r="E10" s="26" t="inlineStr">
        <is>
          <t>Latest onboarding response</t>
        </is>
      </c>
      <c r="F10" s="26" t="inlineStr">
        <is>
          <t>Same query — responses-&gt;&gt;'fear'</t>
        </is>
      </c>
      <c r="G10" s="26" t="inlineStr">
        <is>
          <t>Latest submission</t>
        </is>
      </c>
      <c r="H10" s="27" t="inlineStr">
        <is>
          <t>LIVE</t>
        </is>
      </c>
      <c r="I10" s="28" t="inlineStr">
        <is>
          <t>FULF-0629</t>
        </is>
      </c>
    </row>
    <row r="11" ht="30" customHeight="1">
      <c r="A11" s="29" t="inlineStr">
        <is>
          <t>Pivotal moment</t>
        </is>
      </c>
      <c r="B11" s="37" t="n"/>
      <c r="C11" s="31" t="inlineStr">
        <is>
          <t>text</t>
        </is>
      </c>
      <c r="D11" s="31" t="inlineStr">
        <is>
          <t>RAW</t>
        </is>
      </c>
      <c r="E11" s="32" t="inlineStr">
        <is>
          <t>Latest onboarding response</t>
        </is>
      </c>
      <c r="F11" s="32" t="inlineStr">
        <is>
          <t>Same query — responses-&gt;&gt;'pivotal_moment'</t>
        </is>
      </c>
      <c r="G11" s="32" t="inlineStr">
        <is>
          <t>Latest submission</t>
        </is>
      </c>
      <c r="H11" s="27" t="inlineStr">
        <is>
          <t>LIVE</t>
        </is>
      </c>
      <c r="I11" s="33" t="inlineStr">
        <is>
          <t>FULF-0630</t>
        </is>
      </c>
    </row>
    <row r="12" ht="30" customHeight="1">
      <c r="A12" s="23" t="inlineStr">
        <is>
          <t>Belief that shifted</t>
        </is>
      </c>
      <c r="B12" s="37" t="n"/>
      <c r="C12" s="25" t="inlineStr">
        <is>
          <t>text</t>
        </is>
      </c>
      <c r="D12" s="25" t="inlineStr">
        <is>
          <t>RAW</t>
        </is>
      </c>
      <c r="E12" s="26" t="inlineStr">
        <is>
          <t>Latest onboarding response</t>
        </is>
      </c>
      <c r="F12" s="26" t="inlineStr">
        <is>
          <t>Same query — responses-&gt;&gt;'beliefs_shifted'</t>
        </is>
      </c>
      <c r="G12" s="26" t="inlineStr">
        <is>
          <t>Latest submission</t>
        </is>
      </c>
      <c r="H12" s="27" t="inlineStr">
        <is>
          <t>LIVE</t>
        </is>
      </c>
      <c r="I12" s="28" t="inlineStr">
        <is>
          <t>FULF-0631</t>
        </is>
      </c>
    </row>
    <row r="13" ht="30" customHeight="1">
      <c r="A13" s="29" t="inlineStr">
        <is>
          <t>Progress checkpoints</t>
        </is>
      </c>
      <c r="B13" s="30" t="inlineStr">
        <is>
          <t>n/a</t>
        </is>
      </c>
      <c r="C13" s="31" t="inlineStr">
        <is>
          <t>count (list of dated entries)</t>
        </is>
      </c>
      <c r="D13" s="31" t="inlineStr">
        <is>
          <t>EVENT</t>
        </is>
      </c>
      <c r="E13" s="32" t="inlineStr">
        <is>
          <t>One card per real daily_wins row for the selected client, ordered by win_date desc — ProgressCheckpoints/CheckpointCard, fulfillment.tsx:253-335</t>
        </is>
      </c>
      <c r="F13" s="32" t="inlineStr">
        <is>
          <t>public.daily_wins filtered by client_id — fulfillment.tsx:81-100 (win_date, win_description, win_types, financial_amount_cents, energy_score, blocker)</t>
        </is>
      </c>
      <c r="G13" s="32" t="inlineStr">
        <is>
          <t>All-time for that client (no range filter on this query)</t>
        </is>
      </c>
      <c r="H13" s="27" t="inlineStr">
        <is>
          <t>LIVE</t>
        </is>
      </c>
      <c r="I13" s="33" t="inlineStr">
        <is>
          <t>FULF-0632</t>
        </is>
      </c>
    </row>
    <row r="14" ht="6" customHeight="1"/>
    <row r="15" ht="20" customHeight="1">
      <c r="A15" s="22" t="inlineStr">
        <is>
          <t>DAILY WINS PANEL</t>
        </is>
      </c>
    </row>
    <row r="16" ht="30" customHeight="1">
      <c r="A16" s="23" t="inlineStr">
        <is>
          <t>Logs</t>
        </is>
      </c>
      <c r="B16" s="37" t="n"/>
      <c r="C16" s="25" t="inlineStr">
        <is>
          <t>count</t>
        </is>
      </c>
      <c r="D16" s="25" t="inlineStr">
        <is>
          <t>AGGREGATED</t>
        </is>
      </c>
      <c r="E16" s="26" t="inlineStr">
        <is>
          <t>rows.length (daily_wins rows in the selected day-range, optionally filtered by studentName)</t>
        </is>
      </c>
      <c r="F16" s="26" t="inlineStr">
        <is>
          <t>public.daily_wins — src/components/daily-wins-panel.tsx:131-144</t>
        </is>
      </c>
      <c r="G16" s="26" t="inlineStr">
        <is>
          <t>User-selected range (Today/3d/7d/30d/90d) — daily-wins-panel.tsx:62-68,90-96</t>
        </is>
      </c>
      <c r="H16" s="27" t="inlineStr">
        <is>
          <t>LIVE</t>
        </is>
      </c>
      <c r="I16" s="28" t="inlineStr">
        <is>
          <t>FULF-0633</t>
        </is>
      </c>
    </row>
    <row r="17" ht="30" customHeight="1">
      <c r="A17" s="29" t="inlineStr">
        <is>
          <t>Financial wins</t>
        </is>
      </c>
      <c r="B17" s="37" t="n"/>
      <c r="C17" s="31" t="inlineStr">
        <is>
          <t>count</t>
        </is>
      </c>
      <c r="D17" s="31" t="inlineStr">
        <is>
          <t>AGGREGATED</t>
        </is>
      </c>
      <c r="E17" s="32" t="inlineStr">
        <is>
          <t>rows.filter(w =&gt; win_types.includes('financial')).length — daily-wins-panel.tsx:148</t>
        </is>
      </c>
      <c r="F17" s="32" t="inlineStr">
        <is>
          <t>Same query as 0633</t>
        </is>
      </c>
      <c r="G17" s="32" t="inlineStr">
        <is>
          <t>Same range as 0633</t>
        </is>
      </c>
      <c r="H17" s="27" t="inlineStr">
        <is>
          <t>LIVE</t>
        </is>
      </c>
      <c r="I17" s="33" t="inlineStr">
        <is>
          <t>FULF-0634</t>
        </is>
      </c>
    </row>
    <row r="18" ht="30" customHeight="1">
      <c r="A18" s="23" t="inlineStr">
        <is>
          <t>Cash logged</t>
        </is>
      </c>
      <c r="B18" s="34" t="n"/>
      <c r="C18" s="25" t="inlineStr">
        <is>
          <t>$</t>
        </is>
      </c>
      <c r="D18" s="25" t="inlineStr">
        <is>
          <t>AGGREGATED</t>
        </is>
      </c>
      <c r="E18" s="26" t="inlineStr">
        <is>
          <t>sum(financial_amount_cents) — daily-wins-panel.tsx:147</t>
        </is>
      </c>
      <c r="F18" s="26" t="inlineStr">
        <is>
          <t>Same query as 0633</t>
        </is>
      </c>
      <c r="G18" s="26" t="inlineStr">
        <is>
          <t>Same range as 0633</t>
        </is>
      </c>
      <c r="H18" s="27" t="inlineStr">
        <is>
          <t>LIVE</t>
        </is>
      </c>
      <c r="I18" s="28" t="inlineStr">
        <is>
          <t>FULF-0635</t>
        </is>
      </c>
    </row>
    <row r="19" ht="30" customHeight="1">
      <c r="A19" s="29" t="inlineStr">
        <is>
          <t>Commitments kept</t>
        </is>
      </c>
      <c r="B19" s="39" t="n"/>
      <c r="C19" s="31" t="inlineStr">
        <is>
          <t>% (given unit=count is wrong — rendered as a % string)</t>
        </is>
      </c>
      <c r="D19" s="31" t="inlineStr">
        <is>
          <t>DERIVED</t>
        </is>
      </c>
      <c r="E19" s="32" t="inlineStr">
        <is>
          <t>kept/rows.length * 100 where kept = count(yesterday_status==='done') — daily-wins-panel.tsx:153,315-318</t>
        </is>
      </c>
      <c r="F19" s="32" t="inlineStr">
        <is>
          <t>Same query as 0633</t>
        </is>
      </c>
      <c r="G19" s="32" t="inlineStr">
        <is>
          <t>Same range as 0633</t>
        </is>
      </c>
      <c r="H19" s="27" t="inlineStr">
        <is>
          <t>LIVE</t>
        </is>
      </c>
      <c r="I19" s="33" t="inlineStr">
        <is>
          <t>FULF-0636</t>
        </is>
      </c>
    </row>
    <row r="20" ht="30" customHeight="1">
      <c r="A20" s="23" t="inlineStr">
        <is>
          <t>Avg energy</t>
        </is>
      </c>
      <c r="B20" s="37" t="n"/>
      <c r="C20" s="25" t="inlineStr">
        <is>
          <t>score /10 (given unit=% is wrong)</t>
        </is>
      </c>
      <c r="D20" s="25" t="inlineStr">
        <is>
          <t>DERIVED</t>
        </is>
      </c>
      <c r="E20" s="26" t="inlineStr">
        <is>
          <t>sum(energy_score)/count(rows with energy_score != null) — daily-wins-panel.tsx:149-152</t>
        </is>
      </c>
      <c r="F20" s="26" t="inlineStr">
        <is>
          <t>Same query as 0633</t>
        </is>
      </c>
      <c r="G20" s="26" t="inlineStr">
        <is>
          <t>Same range as 0633</t>
        </is>
      </c>
      <c r="H20" s="27" t="inlineStr">
        <is>
          <t>LIVE</t>
        </is>
      </c>
      <c r="I20" s="28" t="inlineStr">
        <is>
          <t>FULF-0637</t>
        </is>
      </c>
    </row>
    <row r="21" ht="30" customHeight="1">
      <c r="A21" s="29" t="inlineStr">
        <is>
          <t>Save-call triggers</t>
        </is>
      </c>
      <c r="B21" s="30" t="inlineStr">
        <is>
          <t>n/a</t>
        </is>
      </c>
      <c r="C21" s="31" t="inlineStr">
        <is>
          <t>count (of triggered students)</t>
        </is>
      </c>
      <c r="D21" s="31" t="inlineStr">
        <is>
          <t>ALERT</t>
        </is>
      </c>
      <c r="E21" s="32" t="inlineStr">
        <is>
          <t>repeatBlockers: groups by (student_name + first 40 chars of blocker text), keeps groups with count&gt;=3 within the selected range — daily-wins-panel.tsx:156-166</t>
        </is>
      </c>
      <c r="F21" s="32" t="inlineStr">
        <is>
          <t>Same query as 0633 (client-side, not persisted)</t>
        </is>
      </c>
      <c r="G21" s="32" t="inlineStr">
        <is>
          <t>Same range as 0633</t>
        </is>
      </c>
      <c r="H21" s="27" t="inlineStr">
        <is>
          <t>LIVE</t>
        </is>
      </c>
      <c r="I21" s="33" t="inlineStr">
        <is>
          <t>FULF-0638</t>
        </is>
      </c>
    </row>
    <row r="22" ht="30" customHeight="1">
      <c r="A22" s="23" t="inlineStr">
        <is>
          <t>AI coach read</t>
        </is>
      </c>
      <c r="B22" s="37" t="n"/>
      <c r="C22" s="25" t="inlineStr">
        <is>
          <t>text (markdown)</t>
        </is>
      </c>
      <c r="D22" s="25" t="inlineStr">
        <is>
          <t>DERIVED (AI)</t>
        </is>
      </c>
      <c r="E22" s="26" t="inlineStr">
        <is>
          <t>AI-generated markdown coaching summary (Momentum/Double down/Bottlenecks/Save-call radar) from real logged rows</t>
        </is>
      </c>
      <c r="F22" s="26" t="inlineStr">
        <is>
          <t>src/lib/daily-wins.functions.ts:39-57 analyzeDailyWinsFn → src/lib/daily-wins.server.ts:97-149 analyzeWins() — Lovable AI Gateway (gemini-2.5-flash) over the last N days of daily_wins</t>
        </is>
      </c>
      <c r="G22" s="26" t="inlineStr">
        <is>
          <t>User-selected range (days param)</t>
        </is>
      </c>
      <c r="H22" s="27" t="inlineStr">
        <is>
          <t>LIVE</t>
        </is>
      </c>
      <c r="I22" s="28" t="inlineStr">
        <is>
          <t>FULF-0639</t>
        </is>
      </c>
    </row>
    <row r="23" ht="6" customHeight="1"/>
    <row r="24" ht="20" customHeight="1">
      <c r="A24" s="22" t="inlineStr">
        <is>
          <t>LOG A DAILY W DIALOG</t>
        </is>
      </c>
    </row>
    <row r="25" ht="30" customHeight="1">
      <c r="A25" s="29" t="inlineStr">
        <is>
          <t>Win type</t>
        </is>
      </c>
      <c r="B25" s="37" t="n"/>
      <c r="C25" s="31" t="inlineStr">
        <is>
          <t>text[] (categorical)</t>
        </is>
      </c>
      <c r="D25" s="31" t="inlineStr">
        <is>
          <t>RAW</t>
        </is>
      </c>
      <c r="E25" s="32" t="inlineStr">
        <is>
          <t>User-selected checkboxes (financial/mental/physical)</t>
        </is>
      </c>
      <c r="F25" s="32" t="inlineStr">
        <is>
          <t>public.daily_wins.win_types text[] — written via submitDailyWinFn (src/lib/daily-wins.functions.ts:24-29) → insertDailyWin (daily-wins.server.ts:21-69)</t>
        </is>
      </c>
      <c r="G25" s="32" t="inlineStr">
        <is>
          <t>At submission</t>
        </is>
      </c>
      <c r="H25" s="27" t="inlineStr">
        <is>
          <t>LIVE</t>
        </is>
      </c>
      <c r="I25" s="33" t="inlineStr">
        <is>
          <t>FULF-0640</t>
        </is>
      </c>
    </row>
    <row r="26" ht="30" customHeight="1">
      <c r="A26" s="23" t="inlineStr">
        <is>
          <t>Win description</t>
        </is>
      </c>
      <c r="B26" s="37" t="n"/>
      <c r="C26" s="25" t="inlineStr">
        <is>
          <t>text</t>
        </is>
      </c>
      <c r="D26" s="25" t="inlineStr">
        <is>
          <t>RAW</t>
        </is>
      </c>
      <c r="E26" s="26" t="inlineStr">
        <is>
          <t>Free-text (zod min 3 / max 2000 chars)</t>
        </is>
      </c>
      <c r="F26" s="26" t="inlineStr">
        <is>
          <t>Same insert as 0640 — win_description</t>
        </is>
      </c>
      <c r="G26" s="26" t="inlineStr">
        <is>
          <t>At submission</t>
        </is>
      </c>
      <c r="H26" s="27" t="inlineStr">
        <is>
          <t>LIVE</t>
        </is>
      </c>
      <c r="I26" s="28" t="inlineStr">
        <is>
          <t>FULF-0641</t>
        </is>
      </c>
    </row>
    <row r="27" ht="30" customHeight="1">
      <c r="A27" s="29" t="inlineStr">
        <is>
          <t>Amount</t>
        </is>
      </c>
      <c r="B27" s="34" t="n"/>
      <c r="C27" s="31" t="inlineStr">
        <is>
          <t>$</t>
        </is>
      </c>
      <c r="D27" s="31" t="inlineStr">
        <is>
          <t>RAW</t>
        </is>
      </c>
      <c r="E27" s="32" t="inlineStr">
        <is>
          <t>Parsed from the dialog's $ input</t>
        </is>
      </c>
      <c r="F27" s="32" t="inlineStr">
        <is>
          <t>Same insert as 0640 — financial_amount_cents, only when win_types includes financial (daily-wins.server.ts:22,43)</t>
        </is>
      </c>
      <c r="G27" s="32" t="inlineStr">
        <is>
          <t>At submission</t>
        </is>
      </c>
      <c r="H27" s="27" t="inlineStr">
        <is>
          <t>LIVE</t>
        </is>
      </c>
      <c r="I27" s="33" t="inlineStr">
        <is>
          <t>FULF-0642</t>
        </is>
      </c>
    </row>
    <row r="28" ht="30" customHeight="1">
      <c r="A28" s="23" t="inlineStr">
        <is>
          <t>Energy (1-10)</t>
        </is>
      </c>
      <c r="B28" s="37" t="n"/>
      <c r="C28" s="25" t="inlineStr">
        <is>
          <t>score /10</t>
        </is>
      </c>
      <c r="D28" s="25" t="inlineStr">
        <is>
          <t>RAW</t>
        </is>
      </c>
      <c r="E28" s="26" t="inlineStr">
        <is>
          <t>Slider value</t>
        </is>
      </c>
      <c r="F28" s="26" t="inlineStr">
        <is>
          <t>Same insert — energy_score (zod int 1-10)</t>
        </is>
      </c>
      <c r="G28" s="26" t="inlineStr">
        <is>
          <t>At submission</t>
        </is>
      </c>
      <c r="H28" s="27" t="inlineStr">
        <is>
          <t>LIVE</t>
        </is>
      </c>
      <c r="I28" s="28" t="inlineStr">
        <is>
          <t>FULF-0643</t>
        </is>
      </c>
    </row>
    <row r="29" ht="30" customHeight="1">
      <c r="A29" s="29" t="inlineStr">
        <is>
          <t>Biggest blocker</t>
        </is>
      </c>
      <c r="B29" s="37" t="n"/>
      <c r="C29" s="31" t="inlineStr">
        <is>
          <t>text</t>
        </is>
      </c>
      <c r="D29" s="31" t="inlineStr">
        <is>
          <t>RAW</t>
        </is>
      </c>
      <c r="E29" s="32" t="inlineStr">
        <is>
          <t>Free-text</t>
        </is>
      </c>
      <c r="F29" s="32" t="inlineStr">
        <is>
          <t>Same insert — blocker</t>
        </is>
      </c>
      <c r="G29" s="32" t="inlineStr">
        <is>
          <t>At submission</t>
        </is>
      </c>
      <c r="H29" s="27" t="inlineStr">
        <is>
          <t>LIVE</t>
        </is>
      </c>
      <c r="I29" s="33" t="inlineStr">
        <is>
          <t>FULF-0644</t>
        </is>
      </c>
    </row>
    <row r="30" ht="30" customHeight="1">
      <c r="A30" s="23" t="inlineStr">
        <is>
          <t>Tomorrow's #1 needle-mover</t>
        </is>
      </c>
      <c r="B30" s="37" t="n"/>
      <c r="C30" s="25" t="inlineStr">
        <is>
          <t>text</t>
        </is>
      </c>
      <c r="D30" s="25" t="inlineStr">
        <is>
          <t>RAW</t>
        </is>
      </c>
      <c r="E30" s="26" t="inlineStr">
        <is>
          <t>Free-text</t>
        </is>
      </c>
      <c r="F30" s="26" t="inlineStr">
        <is>
          <t>Same insert — tomorrow_needle_mover; also read back via lastNeedleMoverFn (daily-wins.functions.ts:32-37)</t>
        </is>
      </c>
      <c r="G30" s="26" t="inlineStr">
        <is>
          <t>At submission</t>
        </is>
      </c>
      <c r="H30" s="27" t="inlineStr">
        <is>
          <t>LIVE</t>
        </is>
      </c>
      <c r="I30" s="28" t="inlineStr">
        <is>
          <t>FULF-0645</t>
        </is>
      </c>
    </row>
    <row r="31" ht="6" customHeight="1"/>
  </sheetData>
  <autoFilter ref="A4:I30"/>
  <mergeCells count="3">
    <mergeCell ref="A15:I15"/>
    <mergeCell ref="A5:I5"/>
    <mergeCell ref="A24:I2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Fulfillment &gt; Payments</t>
        </is>
      </c>
    </row>
    <row r="2">
      <c r="A2" s="21" t="inlineStr">
        <is>
          <t>80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THIS RANGE</t>
        </is>
      </c>
    </row>
    <row r="6" ht="30" customHeight="1">
      <c r="A6" s="23" t="inlineStr">
        <is>
          <t>Total collected</t>
        </is>
      </c>
      <c r="B6" s="34" t="n"/>
      <c r="C6" s="25" t="inlineStr">
        <is>
          <t>$ (given unit=count is wrong)</t>
        </is>
      </c>
      <c r="D6" s="25" t="inlineStr">
        <is>
          <t>AGGREGATED</t>
        </is>
      </c>
      <c r="E6" s="26" t="inlineStr">
        <is>
          <t>sum(amount_cents) where status='paid', over filteredRows (date-range + UI filters applied)</t>
        </is>
      </c>
      <c r="F6" s="26" t="inlineStr">
        <is>
          <t>public.payments — src/routes/_authenticated.payments.tsx:570-572</t>
        </is>
      </c>
      <c r="G6" s="26" t="inlineStr">
        <is>
          <t>Selected date range (payments.gte/.lte collected_at) — payments.tsx:270-271</t>
        </is>
      </c>
      <c r="H6" s="27" t="inlineStr">
        <is>
          <t>LIVE</t>
        </is>
      </c>
      <c r="I6" s="28" t="inlineStr">
        <is>
          <t>FULF-0646</t>
        </is>
      </c>
    </row>
    <row r="7" ht="30" customHeight="1">
      <c r="A7" s="29" t="inlineStr">
        <is>
          <t>Total contracted</t>
        </is>
      </c>
      <c r="B7" s="34" t="n"/>
      <c r="C7" s="31" t="inlineStr">
        <is>
          <t>$</t>
        </is>
      </c>
      <c r="D7" s="31" t="inlineStr">
        <is>
          <t>AGGREGATED</t>
        </is>
      </c>
      <c r="E7" s="32" t="inlineStr">
        <is>
          <t>sum(contract_value_cents) for every DISTINCT client with &gt;=1 payment row inside the current filteredRows/date range</t>
        </is>
      </c>
      <c r="F7" s="32" t="inlineStr">
        <is>
          <t>public.clients.contract_value_cents — payments.tsx:573-581</t>
        </is>
      </c>
      <c r="G7" s="32" t="inlineStr">
        <is>
          <t>Selected date range, but only via which clients have a payment in range — payments.tsx:578-581</t>
        </is>
      </c>
      <c r="H7" s="27" t="inlineStr">
        <is>
          <t>LIVE</t>
        </is>
      </c>
      <c r="I7" s="33" t="inlineStr">
        <is>
          <t>FULF-0647</t>
        </is>
      </c>
    </row>
    <row r="8" ht="30" customHeight="1">
      <c r="A8" s="23" t="inlineStr">
        <is>
          <t>Total outstanding</t>
        </is>
      </c>
      <c r="B8" s="34" t="n"/>
      <c r="C8" s="25" t="inlineStr">
        <is>
          <t>$ (given unit=count is wrong)</t>
        </is>
      </c>
      <c r="D8" s="25" t="inlineStr">
        <is>
          <t>AGGREGATED</t>
        </is>
      </c>
      <c r="E8" s="26" t="inlineStr">
        <is>
          <t>sum(max(0, contract_value_cents - invested_to_date_cents)) over ALL clients unconditionally</t>
        </is>
      </c>
      <c r="F8" s="26" t="inlineStr">
        <is>
          <t>public.clients (contract_value_cents, invested_to_date_cents) — payments.tsx:582-591</t>
        </is>
      </c>
      <c r="G8" s="26" t="inlineStr">
        <is>
          <t>As of now — deliberately NOT scoped to the date range (comment payments.tsx:582-587, disclosed in UI hint 'not scoped to date range')</t>
        </is>
      </c>
      <c r="H8" s="27" t="inlineStr">
        <is>
          <t>LIVE</t>
        </is>
      </c>
      <c r="I8" s="28" t="inlineStr">
        <is>
          <t>FULF-0648</t>
        </is>
      </c>
    </row>
    <row r="9" ht="30" customHeight="1">
      <c r="A9" s="29" t="inlineStr">
        <is>
          <t>Failed &amp; at-risk</t>
        </is>
      </c>
      <c r="B9" s="34" t="n"/>
      <c r="C9" s="31" t="inlineStr">
        <is>
          <t>$ (given unit=count is wrong)</t>
        </is>
      </c>
      <c r="D9" s="31" t="inlineStr">
        <is>
          <t>AGGREGATED</t>
        </is>
      </c>
      <c r="E9" s="32" t="inlineStr">
        <is>
          <t>sum(amountCents) of the reconciled 'active' recovery rows (real-time bucket membership joined against any open payment_recovery_items row); scoped to the selected client if one is being viewed</t>
        </is>
      </c>
      <c r="F9" s="32" t="inlineStr">
        <is>
          <t>src/lib/mentee-payments.ts:293-352 reconcileRecoveryQueue(clients, payments, payment_recovery_items) — payments.tsx:596-605</t>
        </is>
      </c>
      <c r="G9" s="32" t="inlineStr">
        <is>
          <t>Live — explicitly NOT scoped to date range (hint text payments.tsx:1016)</t>
        </is>
      </c>
      <c r="H9" s="27" t="inlineStr">
        <is>
          <t>LIVE</t>
        </is>
      </c>
      <c r="I9" s="33" t="inlineStr">
        <is>
          <t>FULF-0649</t>
        </is>
      </c>
    </row>
    <row r="10" ht="6" customHeight="1"/>
    <row r="11" ht="20" customHeight="1">
      <c r="A11" s="22" t="inlineStr">
        <is>
          <t>LEDGER COLUMNS</t>
        </is>
      </c>
    </row>
    <row r="12" ht="30" customHeight="1">
      <c r="A12" s="23" t="inlineStr">
        <is>
          <t>Client</t>
        </is>
      </c>
      <c r="B12" s="24" t="inlineStr">
        <is>
          <t>n/a</t>
        </is>
      </c>
      <c r="C12" s="25" t="inlineStr">
        <is>
          <t>text</t>
        </is>
      </c>
      <c r="D12" s="25" t="inlineStr">
        <is>
          <t>DIMENSION</t>
        </is>
      </c>
      <c r="E12" s="26" t="inlineStr">
        <is>
          <t>Direct FK lookup via clientsById map</t>
        </is>
      </c>
      <c r="F12" s="26" t="inlineStr">
        <is>
          <t>public.payments.client_id ⋈ clients.full_name — payments.tsx:1085-1096</t>
        </is>
      </c>
      <c r="G12" s="26" t="inlineStr">
        <is>
          <t>Per-row</t>
        </is>
      </c>
      <c r="H12" s="27" t="inlineStr">
        <is>
          <t>LIVE</t>
        </is>
      </c>
      <c r="I12" s="28" t="inlineStr">
        <is>
          <t>FULF-0650</t>
        </is>
      </c>
    </row>
    <row r="13" ht="30" customHeight="1">
      <c r="A13" s="29" t="inlineStr">
        <is>
          <t>Date</t>
        </is>
      </c>
      <c r="B13" s="37" t="n"/>
      <c r="C13" s="31" t="inlineStr">
        <is>
          <t>date</t>
        </is>
      </c>
      <c r="D13" s="31" t="inlineStr">
        <is>
          <t>RAW</t>
        </is>
      </c>
      <c r="E13" s="32" t="inlineStr">
        <is>
          <t>Direct column</t>
        </is>
      </c>
      <c r="F13" s="32" t="inlineStr">
        <is>
          <t>public.payments.collected_at — payments.tsx:1098-1100</t>
        </is>
      </c>
      <c r="G13" s="32" t="inlineStr">
        <is>
          <t>Per-row</t>
        </is>
      </c>
      <c r="H13" s="27" t="inlineStr">
        <is>
          <t>LIVE</t>
        </is>
      </c>
      <c r="I13" s="33" t="inlineStr">
        <is>
          <t>FULF-0651</t>
        </is>
      </c>
    </row>
    <row r="14" ht="30" customHeight="1">
      <c r="A14" s="23" t="inlineStr">
        <is>
          <t>Amount</t>
        </is>
      </c>
      <c r="B14" s="34" t="n"/>
      <c r="C14" s="25" t="inlineStr">
        <is>
          <t>$</t>
        </is>
      </c>
      <c r="D14" s="25" t="inlineStr">
        <is>
          <t>RAW</t>
        </is>
      </c>
      <c r="E14" s="26" t="inlineStr">
        <is>
          <t>Direct column</t>
        </is>
      </c>
      <c r="F14" s="26" t="inlineStr">
        <is>
          <t>public.payments.amount_cents — payments.tsx:1101-1103</t>
        </is>
      </c>
      <c r="G14" s="26" t="inlineStr">
        <is>
          <t>Per-row</t>
        </is>
      </c>
      <c r="H14" s="27" t="inlineStr">
        <is>
          <t>LIVE</t>
        </is>
      </c>
      <c r="I14" s="28" t="inlineStr">
        <is>
          <t>FULF-0652</t>
        </is>
      </c>
    </row>
    <row r="15" ht="30" customHeight="1">
      <c r="A15" s="29" t="inlineStr">
        <is>
          <t>Status</t>
        </is>
      </c>
      <c r="B15" s="30" t="inlineStr">
        <is>
          <t>n/a</t>
        </is>
      </c>
      <c r="C15" s="31" t="inlineStr">
        <is>
          <t>text (enum)</t>
        </is>
      </c>
      <c r="D15" s="31" t="inlineStr">
        <is>
          <t>STATUS</t>
        </is>
      </c>
      <c r="E15" s="32" t="inlineStr">
        <is>
          <t>Direct column; colored badge, failure_reason shown as tooltip</t>
        </is>
      </c>
      <c r="F15" s="32" t="inlineStr">
        <is>
          <t>public.payments.status — payments.tsx:1104-1119 (paid/failed/refunded/partial/other)</t>
        </is>
      </c>
      <c r="G15" s="32" t="inlineStr">
        <is>
          <t>Per-row</t>
        </is>
      </c>
      <c r="H15" s="27" t="inlineStr">
        <is>
          <t>LIVE</t>
        </is>
      </c>
      <c r="I15" s="33" t="inlineStr">
        <is>
          <t>FULF-0653</t>
        </is>
      </c>
    </row>
    <row r="16" ht="30" customHeight="1">
      <c r="A16" s="23" t="inlineStr">
        <is>
          <t>Processor</t>
        </is>
      </c>
      <c r="B16" s="24" t="inlineStr">
        <is>
          <t>n/a</t>
        </is>
      </c>
      <c r="C16" s="25" t="inlineStr">
        <is>
          <t>text (enum: wise/paypal/fanbasis/whop/stripe/bank_transfer/other)</t>
        </is>
      </c>
      <c r="D16" s="25" t="inlineStr">
        <is>
          <t>DIMENSION</t>
        </is>
      </c>
      <c r="E16" s="26" t="inlineStr">
        <is>
          <t>Direct column; 'Not logged' when null</t>
        </is>
      </c>
      <c r="F16" s="26" t="inlineStr">
        <is>
          <t>public.payments.processor — payments.tsx:1120, src/lib/payments-ledger.ts:8-34 resolveProcessorLabel()</t>
        </is>
      </c>
      <c r="G16" s="26" t="inlineStr">
        <is>
          <t>Per-row</t>
        </is>
      </c>
      <c r="H16" s="38" t="inlineStr">
        <is>
          <t>PARTIALLY CONNECTED</t>
        </is>
      </c>
      <c r="I16" s="28" t="inlineStr">
        <is>
          <t>FULF-0654</t>
        </is>
      </c>
    </row>
    <row r="17" ht="30" customHeight="1">
      <c r="A17" s="29" t="inlineStr">
        <is>
          <t>Type</t>
        </is>
      </c>
      <c r="B17" s="30" t="inlineStr">
        <is>
          <t>n/a</t>
        </is>
      </c>
      <c r="C17" s="31" t="inlineStr">
        <is>
          <t>text (enum)</t>
        </is>
      </c>
      <c r="D17" s="31" t="inlineStr">
        <is>
          <t>DIMENSION</t>
        </is>
      </c>
      <c r="E17" s="32" t="inlineStr">
        <is>
          <t>Direct column; 'Not logged' when null</t>
        </is>
      </c>
      <c r="F17" s="32" t="inlineStr">
        <is>
          <t>public.payments.payment_type — payments.tsx:1121, payments-ledger.ts:36-50 resolvePaymentTypeLabel() (deposit/installment/pif/renewal/other)</t>
        </is>
      </c>
      <c r="G17" s="32" t="inlineStr">
        <is>
          <t>Per-row</t>
        </is>
      </c>
      <c r="H17" s="27" t="inlineStr">
        <is>
          <t>LIVE</t>
        </is>
      </c>
      <c r="I17" s="33" t="inlineStr">
        <is>
          <t>FULF-0655</t>
        </is>
      </c>
    </row>
    <row r="18" ht="30" customHeight="1">
      <c r="A18" s="23" t="inlineStr">
        <is>
          <t>Tier</t>
        </is>
      </c>
      <c r="B18" s="24" t="inlineStr">
        <is>
          <t>n/a</t>
        </is>
      </c>
      <c r="C18" s="25" t="inlineStr">
        <is>
          <t>text (enum)</t>
        </is>
      </c>
      <c r="D18" s="25" t="inlineStr">
        <is>
          <t>DIMENSION</t>
        </is>
      </c>
      <c r="E18" s="26" t="inlineStr">
        <is>
          <t>tierKey resolved from the lead's ticket_tier first, else devTierByOffer fallback (dev bypass only); 'Unknown' if neither resolves</t>
        </is>
      </c>
      <c r="F18" s="26" t="inlineStr">
        <is>
          <t>Resolved via leads.ticket_tier (by client.lead_id) or offer_tiers — payments.tsx:141-147,488-491,521-524</t>
        </is>
      </c>
      <c r="G18" s="26" t="inlineStr">
        <is>
          <t>Per-row</t>
        </is>
      </c>
      <c r="H18" s="38" t="inlineStr">
        <is>
          <t>PARTIALLY CONNECTED</t>
        </is>
      </c>
      <c r="I18" s="28" t="inlineStr">
        <is>
          <t>FULF-0656</t>
        </is>
      </c>
    </row>
    <row r="19" ht="30" customHeight="1">
      <c r="A19" s="29" t="inlineStr">
        <is>
          <t>Plan</t>
        </is>
      </c>
      <c r="B19" s="37" t="n"/>
      <c r="C19" s="31" t="inlineStr">
        <is>
          <t>text (formatted, e.g. '$2,500 × 2')</t>
        </is>
      </c>
      <c r="D19" s="31" t="inlineStr">
        <is>
          <t>DERIVED</t>
        </is>
      </c>
      <c r="E19" s="32" t="inlineStr">
        <is>
          <t>'Paid in Full' (payment_plan=false) / catalog plan label (offer_payment_plan_id links to a real offer_payment_plans row) / 'Custom (unlinked)' (payment_plan=true, no catalog link) — formatPlanStructure() for display</t>
        </is>
      </c>
      <c r="F19" s="32" t="inlineStr">
        <is>
          <t>src/lib/payments-ledger.ts:82-122 resolvePlanStructure() — reads client.payment_plan/installments_remaining/installment_amount_cents/contract_value_cents and (if linked) offer_payment_plans</t>
        </is>
      </c>
      <c r="G19" s="32" t="inlineStr">
        <is>
          <t>Per-row (uses the row's client, not date-scoped)</t>
        </is>
      </c>
      <c r="H19" s="27" t="inlineStr">
        <is>
          <t>LIVE</t>
        </is>
      </c>
      <c r="I19" s="33" t="inlineStr">
        <is>
          <t>FULF-0657</t>
        </is>
      </c>
    </row>
    <row r="20" ht="6" customHeight="1"/>
    <row r="21" ht="20" customHeight="1">
      <c r="A21" s="22" t="inlineStr">
        <is>
          <t>PAYMENT OPERATIONS — RECOVERY QUEUE</t>
        </is>
      </c>
    </row>
    <row r="22" ht="30" customHeight="1">
      <c r="A22" s="23" t="inlineStr">
        <is>
          <t>Failed Payment Today (bucket)</t>
        </is>
      </c>
      <c r="B22" s="37" t="n"/>
      <c r="C22" s="25" t="inlineStr">
        <is>
          <t>count</t>
        </is>
      </c>
      <c r="D22" s="25" t="inlineStr">
        <is>
          <t>AGGREGATED</t>
        </is>
      </c>
      <c r="E22" s="26" t="inlineStr">
        <is>
          <t>Client has a payments row with status='failed' AND collected_at is today (daysBetween==0) — mentee-payments.ts:179-190</t>
        </is>
      </c>
      <c r="F22" s="26" t="inlineStr">
        <is>
          <t>src/lib/mentee-payments.ts:164-239 buildRecoveryQueue() → reconcileRecoveryQueue() — payment_recovery_items status + payments.status='failed' with collected_at=today</t>
        </is>
      </c>
      <c r="G22" s="26" t="inlineStr">
        <is>
          <t>Live (today's date at read time)</t>
        </is>
      </c>
      <c r="H22" s="27" t="inlineStr">
        <is>
          <t>LIVE</t>
        </is>
      </c>
      <c r="I22" s="28" t="inlineStr">
        <is>
          <t>FULF-0658</t>
        </is>
      </c>
    </row>
    <row r="23" ht="30" customHeight="1">
      <c r="A23" s="29" t="inlineStr">
        <is>
          <t>Retry Pending (bucket)</t>
        </is>
      </c>
      <c r="B23" s="37" t="n"/>
      <c r="C23" s="31" t="inlineStr">
        <is>
          <t>count</t>
        </is>
      </c>
      <c r="D23" s="31" t="inlineStr">
        <is>
          <t>AGGREGATED</t>
        </is>
      </c>
      <c r="E23" s="32" t="inlineStr">
        <is>
          <t>Client has ANY failed payment but not one from today</t>
        </is>
      </c>
      <c r="F23" s="32" t="inlineStr">
        <is>
          <t>Same source as 0658 — mentee-payments.ts:191-200</t>
        </is>
      </c>
      <c r="G23" s="32" t="inlineStr">
        <is>
          <t>Live</t>
        </is>
      </c>
      <c r="H23" s="38" t="inlineStr">
        <is>
          <t>PARTIALLY CONNECTED</t>
        </is>
      </c>
      <c r="I23" s="33" t="inlineStr">
        <is>
          <t>FULF-0659</t>
        </is>
      </c>
    </row>
    <row r="24" ht="30" customHeight="1">
      <c r="A24" s="23" t="inlineStr">
        <is>
          <t>Due Next 3 Days (bucket)</t>
        </is>
      </c>
      <c r="B24" s="37" t="n"/>
      <c r="C24" s="25" t="inlineStr">
        <is>
          <t>count</t>
        </is>
      </c>
      <c r="D24" s="25" t="inlineStr">
        <is>
          <t>AGGREGATED</t>
        </is>
      </c>
      <c r="E24" s="26" t="inlineStr">
        <is>
          <t>daysBetween(expected_next_payment_date) in [0,3]</t>
        </is>
      </c>
      <c r="F24" s="26" t="inlineStr">
        <is>
          <t>Same source — mentee-payments.ts:201-210 (client.expected_next_payment_date within 0-3 days)</t>
        </is>
      </c>
      <c r="G24" s="26" t="inlineStr">
        <is>
          <t>Live</t>
        </is>
      </c>
      <c r="H24" s="27" t="inlineStr">
        <is>
          <t>LIVE</t>
        </is>
      </c>
      <c r="I24" s="28" t="inlineStr">
        <is>
          <t>FULF-0660</t>
        </is>
      </c>
    </row>
    <row r="25" ht="30" customHeight="1">
      <c r="A25" s="29" t="inlineStr">
        <is>
          <t>Overdue 1-7/8-30/30+ (buckets)</t>
        </is>
      </c>
      <c r="B25" s="37" t="n"/>
      <c r="C25" s="31" t="inlineStr">
        <is>
          <t>count</t>
        </is>
      </c>
      <c r="D25" s="31" t="inlineStr">
        <is>
          <t>AGGREGATED</t>
        </is>
      </c>
      <c r="E25" s="32" t="inlineStr">
        <is>
          <t>daysBetween(expected_next_payment_date) negative, bucketed by abs(days) &lt;=7 / &lt;=30 / &gt;30</t>
        </is>
      </c>
      <c r="F25" s="32" t="inlineStr">
        <is>
          <t>Same source — mentee-payments.ts:211-222</t>
        </is>
      </c>
      <c r="G25" s="32" t="inlineStr">
        <is>
          <t>Live</t>
        </is>
      </c>
      <c r="H25" s="27" t="inlineStr">
        <is>
          <t>LIVE</t>
        </is>
      </c>
      <c r="I25" s="33" t="inlineStr">
        <is>
          <t>FULF-0661</t>
        </is>
      </c>
    </row>
    <row r="26" ht="30" customHeight="1">
      <c r="A26" s="23" t="inlineStr">
        <is>
          <t>Promise-to-Pay Due Today (bucket)</t>
        </is>
      </c>
      <c r="B26" s="37" t="n"/>
      <c r="C26" s="25" t="inlineStr">
        <is>
          <t>count</t>
        </is>
      </c>
      <c r="D26" s="25" t="inlineStr">
        <is>
          <t>STATUS/ALERT</t>
        </is>
      </c>
      <c r="E26" s="26" t="inlineStr">
        <is>
          <t>Reconciled row's recoveryItem.next_action check</t>
        </is>
      </c>
      <c r="F26" s="26" t="inlineStr">
        <is>
          <t>payments.tsx:894-905 — payment_recovery_items.next_action==='Log promise-to-pay' with next_action_at &lt;= now</t>
        </is>
      </c>
      <c r="G26" s="26" t="inlineStr">
        <is>
          <t>Live</t>
        </is>
      </c>
      <c r="H26" s="38" t="inlineStr">
        <is>
          <t>PARTIALLY CONNECTED</t>
        </is>
      </c>
      <c r="I26" s="28" t="inlineStr">
        <is>
          <t>FULF-0662</t>
        </is>
      </c>
    </row>
    <row r="27" ht="30" customHeight="1">
      <c r="A27" s="29" t="inlineStr">
        <is>
          <t>High-Value Outstanding (bucket)</t>
        </is>
      </c>
      <c r="B27" s="34" t="n"/>
      <c r="C27" s="31" t="inlineStr">
        <is>
          <t>$ (amount) / count (bucket membership)</t>
        </is>
      </c>
      <c r="D27" s="31" t="inlineStr">
        <is>
          <t>AGGREGATED</t>
        </is>
      </c>
      <c r="E27" s="32" t="inlineStr">
        <is>
          <t>outstanding = max(0, contract_value_cents - invested_to_date_cents) &gt;= $2000</t>
        </is>
      </c>
      <c r="F27" s="32" t="inlineStr">
        <is>
          <t>Same source — mentee-payments.ts:224-236, threshold constant HIGH_VALUE_THRESHOLD_CENTS=$2000 (mentee-payments.ts:159)</t>
        </is>
      </c>
      <c r="G27" s="32" t="inlineStr">
        <is>
          <t>Live</t>
        </is>
      </c>
      <c r="H27" s="27" t="inlineStr">
        <is>
          <t>LIVE</t>
        </is>
      </c>
      <c r="I27" s="33" t="inlineStr">
        <is>
          <t>FULF-0663</t>
        </is>
      </c>
    </row>
    <row r="28" ht="30" customHeight="1">
      <c r="A28" s="23" t="inlineStr">
        <is>
          <t>Offer</t>
        </is>
      </c>
      <c r="B28" s="24" t="inlineStr">
        <is>
          <t>n/a</t>
        </is>
      </c>
      <c r="C28" s="25" t="inlineStr">
        <is>
          <t>text</t>
        </is>
      </c>
      <c r="D28" s="25" t="inlineStr">
        <is>
          <t>DIMENSION</t>
        </is>
      </c>
      <c r="E28" s="26" t="inlineStr">
        <is>
          <t>Direct column</t>
        </is>
      </c>
      <c r="F28" s="26" t="inlineStr">
        <is>
          <t>public.clients.offer_name — recovery-queue-panel.tsx:174-179</t>
        </is>
      </c>
      <c r="G28" s="26" t="inlineStr">
        <is>
          <t>Per-row</t>
        </is>
      </c>
      <c r="H28" s="27" t="inlineStr">
        <is>
          <t>LIVE</t>
        </is>
      </c>
      <c r="I28" s="28" t="inlineStr">
        <is>
          <t>FULF-0664</t>
        </is>
      </c>
    </row>
    <row r="29" ht="30" customHeight="1">
      <c r="A29" s="29" t="inlineStr">
        <is>
          <t>Amount</t>
        </is>
      </c>
      <c r="B29" s="34" t="n"/>
      <c r="C29" s="31" t="inlineStr">
        <is>
          <t>$</t>
        </is>
      </c>
      <c r="D29" s="31" t="inlineStr">
        <is>
          <t>DERIVED</t>
        </is>
      </c>
      <c r="E29" s="32" t="inlineStr">
        <is>
          <t>Max of the amounts across all buckets a client qualifies for (mentee-payments.ts:319)</t>
        </is>
      </c>
      <c r="F29" s="32" t="inlineStr">
        <is>
          <t>reconcileRecoveryQueue() row.amountCents — recovery-queue-panel.tsx:180-183</t>
        </is>
      </c>
      <c r="G29" s="32" t="inlineStr">
        <is>
          <t>Live</t>
        </is>
      </c>
      <c r="H29" s="27" t="inlineStr">
        <is>
          <t>LIVE</t>
        </is>
      </c>
      <c r="I29" s="33" t="inlineStr">
        <is>
          <t>FULF-0665</t>
        </is>
      </c>
    </row>
    <row r="30" ht="30" customHeight="1">
      <c r="A30" s="23" t="inlineStr">
        <is>
          <t>Due</t>
        </is>
      </c>
      <c r="B30" s="37" t="n"/>
      <c r="C30" s="25" t="inlineStr">
        <is>
          <t>date</t>
        </is>
      </c>
      <c r="D30" s="25" t="inlineStr">
        <is>
          <t>RAW</t>
        </is>
      </c>
      <c r="E30" s="26" t="inlineStr">
        <is>
          <t>Direct column via the client</t>
        </is>
      </c>
      <c r="F30" s="26" t="inlineStr">
        <is>
          <t>row.dueDate (expected_next_payment_date) — recovery-queue-panel.tsx:184-187</t>
        </is>
      </c>
      <c r="G30" s="26" t="inlineStr">
        <is>
          <t>Per-row</t>
        </is>
      </c>
      <c r="H30" s="27" t="inlineStr">
        <is>
          <t>LIVE</t>
        </is>
      </c>
      <c r="I30" s="28" t="inlineStr">
        <is>
          <t>FULF-0666</t>
        </is>
      </c>
    </row>
    <row r="31" ht="30" customHeight="1">
      <c r="A31" s="29" t="inlineStr">
        <is>
          <t>Status</t>
        </is>
      </c>
      <c r="B31" s="30" t="inlineStr">
        <is>
          <t>n/a</t>
        </is>
      </c>
      <c r="C31" s="31" t="inlineStr">
        <is>
          <t>text (enum)</t>
        </is>
      </c>
      <c r="D31" s="31" t="inlineStr">
        <is>
          <t>STATUS</t>
        </is>
      </c>
      <c r="E31" s="32" t="inlineStr">
        <is>
          <t>recoveryItem?.status, or 'Not logged' when the client is a real (untracked) candidate with no persisted row yet</t>
        </is>
      </c>
      <c r="F31" s="32" t="inlineStr">
        <is>
          <t>payment_recovery_items.status — recovery-queue-panel.tsx:188-193 (due/paid/missed/overdue/failed/retry/recovered/refunded, migration 20260901090000...sql:73)</t>
        </is>
      </c>
      <c r="G31" s="32" t="inlineStr">
        <is>
          <t>Live</t>
        </is>
      </c>
      <c r="H31" s="38" t="inlineStr">
        <is>
          <t>PARTIALLY CONNECTED</t>
        </is>
      </c>
      <c r="I31" s="33" t="inlineStr">
        <is>
          <t>FULF-0667</t>
        </is>
      </c>
    </row>
    <row r="32" ht="30" customHeight="1">
      <c r="A32" s="23" t="inlineStr">
        <is>
          <t>Last action</t>
        </is>
      </c>
      <c r="B32" s="37" t="n"/>
      <c r="C32" s="25" t="inlineStr">
        <is>
          <t>text</t>
        </is>
      </c>
      <c r="D32" s="25" t="inlineStr">
        <is>
          <t>RAW</t>
        </is>
      </c>
      <c r="E32" s="26" t="inlineStr">
        <is>
          <t>Set by the 2 real action buttons: 'Reminder sent' / 'Mark resolved' (recovery-queue-panel.tsx:21-24), or by the payments.tsx recoveryAction mutation (payments.tsx:759-803)</t>
        </is>
      </c>
      <c r="F32" s="26" t="inlineStr">
        <is>
          <t>payment_recovery_items.next_action — recovery-queue-panel.tsx:194-199</t>
        </is>
      </c>
      <c r="G32" s="26" t="inlineStr">
        <is>
          <t>Live (updated on click)</t>
        </is>
      </c>
      <c r="H32" s="27" t="inlineStr">
        <is>
          <t>LIVE</t>
        </is>
      </c>
      <c r="I32" s="28" t="inlineStr">
        <is>
          <t>FULF-0668</t>
        </is>
      </c>
    </row>
    <row r="33" ht="6" customHeight="1"/>
    <row r="34" ht="20" customHeight="1">
      <c r="A34" s="22" t="inlineStr">
        <is>
          <t>EXPECTED CASH</t>
        </is>
      </c>
    </row>
    <row r="35" ht="30" customHeight="1">
      <c r="A35" s="29" t="inlineStr">
        <is>
          <t>Expected vs Actual collections (chart)</t>
        </is>
      </c>
      <c r="B35" s="34" t="n"/>
      <c r="C35" s="31" t="inlineStr">
        <is>
          <t>$ (given unit=count is wrong)</t>
        </is>
      </c>
      <c r="D35" s="31" t="inlineStr">
        <is>
          <t>DERIVED</t>
        </is>
      </c>
      <c r="E35" s="32" t="inlineStr">
        <is>
          <t>Per-day buckets of expected (schedule due) vs actual (paid) cents within the selected date range</t>
        </is>
      </c>
      <c r="F35" s="32" t="inlineStr">
        <is>
          <t>src/lib/mentee-payments.ts:360-385 expectedVsActualSeries() — payments.tsx:933-936; inputs: payment_schedule_items.due_date/amount_cents (expected) + payments.collected_at/amount_cents where status='paid' (actual)</t>
        </is>
      </c>
      <c r="G35" s="32" t="inlineStr">
        <is>
          <t>Selected date range</t>
        </is>
      </c>
      <c r="H35" s="27" t="inlineStr">
        <is>
          <t>LIVE</t>
        </is>
      </c>
      <c r="I35" s="33" t="inlineStr">
        <is>
          <t>FULF-0669</t>
        </is>
      </c>
    </row>
    <row r="36" ht="6" customHeight="1"/>
    <row r="37" ht="20" customHeight="1">
      <c r="A37" s="22" t="inlineStr">
        <is>
          <t>PAYMENT BREAKDOWN</t>
        </is>
      </c>
    </row>
    <row r="38" ht="30" customHeight="1">
      <c r="A38" s="23" t="inlineStr">
        <is>
          <t>Collected by processor</t>
        </is>
      </c>
      <c r="B38" s="34" t="n"/>
      <c r="C38" s="25" t="inlineStr">
        <is>
          <t>$</t>
        </is>
      </c>
      <c r="D38" s="25" t="inlineStr">
        <is>
          <t>AGGREGATED</t>
        </is>
      </c>
      <c r="E38" s="26" t="inlineStr">
        <is>
          <t>sum(amount_cents) grouped by processor for status='paid' rows in filteredRows</t>
        </is>
      </c>
      <c r="F38" s="26" t="inlineStr">
        <is>
          <t>src/lib/payments-ledger.ts:226-235 groupByProcessor() — payments.tsx:607-615</t>
        </is>
      </c>
      <c r="G38" s="26" t="inlineStr">
        <is>
          <t>Selected date range</t>
        </is>
      </c>
      <c r="H38" s="38" t="inlineStr">
        <is>
          <t>PARTIALLY CONNECTED</t>
        </is>
      </c>
      <c r="I38" s="28" t="inlineStr">
        <is>
          <t>FULF-0670</t>
        </is>
      </c>
    </row>
    <row r="39" ht="30" customHeight="1">
      <c r="A39" s="29" t="inlineStr">
        <is>
          <t>Collected by payment type</t>
        </is>
      </c>
      <c r="B39" s="34" t="n"/>
      <c r="C39" s="31" t="inlineStr">
        <is>
          <t>$</t>
        </is>
      </c>
      <c r="D39" s="31" t="inlineStr">
        <is>
          <t>AGGREGATED</t>
        </is>
      </c>
      <c r="E39" s="32" t="inlineStr">
        <is>
          <t>sum(amount_cents) grouped by payment_type for paid rows</t>
        </is>
      </c>
      <c r="F39" s="32" t="inlineStr">
        <is>
          <t>payments-ledger.ts:237-246 groupByPaymentType() — payments.tsx:616-627</t>
        </is>
      </c>
      <c r="G39" s="32" t="inlineStr">
        <is>
          <t>Selected date range</t>
        </is>
      </c>
      <c r="H39" s="38" t="inlineStr">
        <is>
          <t>PARTIALLY CONNECTED</t>
        </is>
      </c>
      <c r="I39" s="33" t="inlineStr">
        <is>
          <t>FULF-0671</t>
        </is>
      </c>
    </row>
    <row r="40" ht="30" customHeight="1">
      <c r="A40" s="23" t="inlineStr">
        <is>
          <t>High vs low ticket</t>
        </is>
      </c>
      <c r="B40" s="34" t="n"/>
      <c r="C40" s="25" t="inlineStr">
        <is>
          <t>$</t>
        </is>
      </c>
      <c r="D40" s="25" t="inlineStr">
        <is>
          <t>AGGREGATED</t>
        </is>
      </c>
      <c r="E40" s="26" t="inlineStr">
        <is>
          <t>sum(amount_cents) grouped by resolved tierKey (see FULF-0656) for paid rows</t>
        </is>
      </c>
      <c r="F40" s="26" t="inlineStr">
        <is>
          <t>payments-ledger.ts:248-258 groupByTicketTier() — payments.tsx:628-637</t>
        </is>
      </c>
      <c r="G40" s="26" t="inlineStr">
        <is>
          <t>Selected date range</t>
        </is>
      </c>
      <c r="H40" s="38" t="inlineStr">
        <is>
          <t>PARTIALLY CONNECTED</t>
        </is>
      </c>
      <c r="I40" s="28" t="inlineStr">
        <is>
          <t>FULF-0672</t>
        </is>
      </c>
    </row>
    <row r="41" ht="30" customHeight="1">
      <c r="A41" s="29" t="inlineStr">
        <is>
          <t>PIF vs payment plan vs low-ticket MRR</t>
        </is>
      </c>
      <c r="B41" s="34" t="n"/>
      <c r="C41" s="31" t="inlineStr">
        <is>
          <t>$</t>
        </is>
      </c>
      <c r="D41" s="31" t="inlineStr">
        <is>
          <t>AGGREGATED</t>
        </is>
      </c>
      <c r="E41" s="32" t="inlineStr">
        <is>
          <t>PIF (payment_plan=false) / Payment Plan (payment_plan=true, unlinked or non-MRR catalog plan) / Low-Ticket MRR (only when offer_payment_plans.cadence='mrr' or offers.pricing_type='mrr' — a REAL catalog link, never guessed) — grouped sum(amount_cents) for paid rows</t>
        </is>
      </c>
      <c r="F41" s="32" t="inlineStr">
        <is>
          <t>src/lib/payments-ledger.ts:136-157 dealClassification() + 260-269 groupByDealClassification() — payments.tsx:638-649</t>
        </is>
      </c>
      <c r="G41" s="32" t="inlineStr">
        <is>
          <t>Selected date range</t>
        </is>
      </c>
      <c r="H41" s="27" t="inlineStr">
        <is>
          <t>LIVE</t>
        </is>
      </c>
      <c r="I41" s="33" t="inlineStr">
        <is>
          <t>FULF-0673</t>
        </is>
      </c>
    </row>
    <row r="42" ht="6" customHeight="1"/>
    <row r="43" ht="20" customHeight="1">
      <c r="A43" s="22" t="inlineStr">
        <is>
          <t>RENEWAL OPERATIONS — KANBAN</t>
        </is>
      </c>
    </row>
    <row r="44" ht="30" customHeight="1">
      <c r="A44" s="23" t="inlineStr">
        <is>
          <t>Not Started</t>
        </is>
      </c>
      <c r="B44" s="24" t="inlineStr">
        <is>
          <t>n/a</t>
        </is>
      </c>
      <c r="C44" s="25" t="inlineStr">
        <is>
          <t>count (of cards in column) + sum(contract_value_cents) shown as column total</t>
        </is>
      </c>
      <c r="D44" s="25" t="inlineStr">
        <is>
          <t>STATUS</t>
        </is>
      </c>
      <c r="E44" s="26" t="inlineStr">
        <is>
          <t>Kanban column = clients grouped by renewal_stage (defaults to 'not_started' when null)</t>
        </is>
      </c>
      <c r="F44" s="26" t="inlineStr">
        <is>
          <t>public.clients.renewal_stage — src/components/mentee-renewal-panel.tsx:88-99,1237-1247 (STAGES array)</t>
        </is>
      </c>
      <c r="G44" s="26" t="inlineStr">
        <is>
          <t>All-time (view filter can narrow by health/search)</t>
        </is>
      </c>
      <c r="H44" s="27" t="inlineStr">
        <is>
          <t>LIVE</t>
        </is>
      </c>
      <c r="I44" s="28" t="inlineStr">
        <is>
          <t>FULF-0674</t>
        </is>
      </c>
    </row>
    <row r="45" ht="30" customHeight="1">
      <c r="A45" s="29" t="inlineStr">
        <is>
          <t>Outreach Started</t>
        </is>
      </c>
      <c r="B45" s="30" t="inlineStr">
        <is>
          <t>n/a</t>
        </is>
      </c>
      <c r="C45" s="31" t="inlineStr">
        <is>
          <t>count + $ total</t>
        </is>
      </c>
      <c r="D45" s="31" t="inlineStr">
        <is>
          <t>STATUS</t>
        </is>
      </c>
      <c r="E45" s="32" t="inlineStr">
        <is>
          <t>Same mechanism</t>
        </is>
      </c>
      <c r="F45" s="32" t="inlineStr">
        <is>
          <t>Same as 0674 — renewal_stage='outreach_started'</t>
        </is>
      </c>
      <c r="G45" s="32" t="inlineStr">
        <is>
          <t>All-time</t>
        </is>
      </c>
      <c r="H45" s="27" t="inlineStr">
        <is>
          <t>LIVE</t>
        </is>
      </c>
      <c r="I45" s="33" t="inlineStr">
        <is>
          <t>FULF-0675</t>
        </is>
      </c>
    </row>
    <row r="46" ht="30" customHeight="1">
      <c r="A46" s="23" t="inlineStr">
        <is>
          <t>Renewal Action/Next Step</t>
        </is>
      </c>
      <c r="B46" s="24" t="inlineStr">
        <is>
          <t>n/a</t>
        </is>
      </c>
      <c r="C46" s="25" t="inlineStr">
        <is>
          <t>count + $ total</t>
        </is>
      </c>
      <c r="D46" s="25" t="inlineStr">
        <is>
          <t>STATUS</t>
        </is>
      </c>
      <c r="E46" s="26" t="inlineStr">
        <is>
          <t>Same mechanism</t>
        </is>
      </c>
      <c r="F46" s="26" t="inlineStr">
        <is>
          <t>Same as 0674 — renewal_stage='conversation' (DB value unchanged from spec's original 'conversation' key; only the DISPLAYED label was renamed from 'Conversation' to 'Renewal Action / Next Step' per a post-QA remediation, code comment mentee-renewal-panel.tsx:91-95)</t>
        </is>
      </c>
      <c r="G46" s="26" t="inlineStr">
        <is>
          <t>All-time</t>
        </is>
      </c>
      <c r="H46" s="27" t="inlineStr">
        <is>
          <t>LIVE</t>
        </is>
      </c>
      <c r="I46" s="28" t="inlineStr">
        <is>
          <t>FULF-0676</t>
        </is>
      </c>
    </row>
    <row r="47" ht="30" customHeight="1">
      <c r="A47" s="29" t="inlineStr">
        <is>
          <t>Proposal/Payment Link Sent</t>
        </is>
      </c>
      <c r="B47" s="30" t="inlineStr">
        <is>
          <t>n/a</t>
        </is>
      </c>
      <c r="C47" s="31" t="inlineStr">
        <is>
          <t>count + $ total</t>
        </is>
      </c>
      <c r="D47" s="31" t="inlineStr">
        <is>
          <t>STATUS</t>
        </is>
      </c>
      <c r="E47" s="32" t="inlineStr">
        <is>
          <t>Same mechanism</t>
        </is>
      </c>
      <c r="F47" s="32" t="inlineStr">
        <is>
          <t>Same as 0674 — renewal_stage='proposal'</t>
        </is>
      </c>
      <c r="G47" s="32" t="inlineStr">
        <is>
          <t>All-time</t>
        </is>
      </c>
      <c r="H47" s="27" t="inlineStr">
        <is>
          <t>LIVE</t>
        </is>
      </c>
      <c r="I47" s="33" t="inlineStr">
        <is>
          <t>FULF-0677</t>
        </is>
      </c>
    </row>
    <row r="48" ht="30" customHeight="1">
      <c r="A48" s="23" t="inlineStr">
        <is>
          <t>Renewed</t>
        </is>
      </c>
      <c r="B48" s="24" t="inlineStr">
        <is>
          <t>n/a</t>
        </is>
      </c>
      <c r="C48" s="25" t="inlineStr">
        <is>
          <t>count + $ total</t>
        </is>
      </c>
      <c r="D48" s="25" t="inlineStr">
        <is>
          <t>STATUS</t>
        </is>
      </c>
      <c r="E48" s="26" t="inlineStr">
        <is>
          <t>Same mechanism</t>
        </is>
      </c>
      <c r="F48" s="26" t="inlineStr">
        <is>
          <t>Same as 0674 — renewal_stage='won' (also sets clients.status='active', mentee-renewal-panel.tsx:846)</t>
        </is>
      </c>
      <c r="G48" s="26" t="inlineStr">
        <is>
          <t>All-time</t>
        </is>
      </c>
      <c r="H48" s="27" t="inlineStr">
        <is>
          <t>LIVE</t>
        </is>
      </c>
      <c r="I48" s="28" t="inlineStr">
        <is>
          <t>FULF-0678</t>
        </is>
      </c>
    </row>
    <row r="49" ht="30" customHeight="1">
      <c r="A49" s="29" t="inlineStr">
        <is>
          <t>Churned</t>
        </is>
      </c>
      <c r="B49" s="30" t="inlineStr">
        <is>
          <t>n/a</t>
        </is>
      </c>
      <c r="C49" s="31" t="inlineStr">
        <is>
          <t>count + $ total</t>
        </is>
      </c>
      <c r="D49" s="31" t="inlineStr">
        <is>
          <t>STATUS</t>
        </is>
      </c>
      <c r="E49" s="32" t="inlineStr">
        <is>
          <t>Same mechanism + optional reason capture</t>
        </is>
      </c>
      <c r="F49" s="32" t="inlineStr">
        <is>
          <t>Same as 0674 — renewal_stage='churned' (also sets clients.status='churned', mentee-renewal-panel.tsx:845); dragging here prompts window.prompt() for an optional churn reason written to renewal_work_items.renewal_outcome (mentee-renewal-panel.tsx:853-856,867)</t>
        </is>
      </c>
      <c r="G49" s="32" t="inlineStr">
        <is>
          <t>All-time</t>
        </is>
      </c>
      <c r="H49" s="27" t="inlineStr">
        <is>
          <t>LIVE</t>
        </is>
      </c>
      <c r="I49" s="33" t="inlineStr">
        <is>
          <t>FULF-0679</t>
        </is>
      </c>
    </row>
    <row r="50" ht="6" customHeight="1"/>
    <row r="51" ht="20" customHeight="1">
      <c r="A51" s="22" t="inlineStr">
        <is>
          <t>RENEWAL WORKFLOW</t>
        </is>
      </c>
    </row>
    <row r="52" ht="30" customHeight="1">
      <c r="A52" s="23" t="inlineStr">
        <is>
          <t>Stage</t>
        </is>
      </c>
      <c r="B52" s="24" t="inlineStr">
        <is>
          <t>n/a</t>
        </is>
      </c>
      <c r="C52" s="25" t="inlineStr">
        <is>
          <t>text (enum)</t>
        </is>
      </c>
      <c r="D52" s="25" t="inlineStr">
        <is>
          <t>STATUS</t>
        </is>
      </c>
      <c r="E52" s="26" t="inlineStr">
        <is>
          <t>Direct column via stageLabel()</t>
        </is>
      </c>
      <c r="F52" s="26" t="inlineStr">
        <is>
          <t>public.clients.renewal_stage, displayed in src/components/mentee-operations-panel.tsx:167-173</t>
        </is>
      </c>
      <c r="G52" s="26" t="inlineStr">
        <is>
          <t>All-time</t>
        </is>
      </c>
      <c r="H52" s="27" t="inlineStr">
        <is>
          <t>LIVE</t>
        </is>
      </c>
      <c r="I52" s="28" t="inlineStr">
        <is>
          <t>FULF-0680</t>
        </is>
      </c>
    </row>
    <row r="53" ht="30" customHeight="1">
      <c r="A53" s="29" t="inlineStr">
        <is>
          <t>Owner</t>
        </is>
      </c>
      <c r="B53" s="37" t="n"/>
      <c r="C53" s="31" t="inlineStr">
        <is>
          <t>text</t>
        </is>
      </c>
      <c r="D53" s="31" t="inlineStr">
        <is>
          <t>RAW</t>
        </is>
      </c>
      <c r="E53" s="32" t="inlineStr">
        <is>
          <t>Free-text name typed into an inline input, stored by hijacking the next_action text column (NOT the table's own owner_id uuid column)</t>
        </is>
      </c>
      <c r="F53" s="32" t="inlineStr">
        <is>
          <t>public.renewal_work_items.next_action — mentee-operations-panel.tsx:73-106,174-204, prefixed 'Owner: &lt;name&gt;'</t>
        </is>
      </c>
      <c r="G53" s="32" t="inlineStr">
        <is>
          <t>All-time</t>
        </is>
      </c>
      <c r="H53" s="38" t="inlineStr">
        <is>
          <t>PARTIALLY CONNECTED</t>
        </is>
      </c>
      <c r="I53" s="33" t="inlineStr">
        <is>
          <t>FULF-0681</t>
        </is>
      </c>
    </row>
    <row r="54" ht="30" customHeight="1">
      <c r="A54" s="23" t="inlineStr">
        <is>
          <t>Action date</t>
        </is>
      </c>
      <c r="B54" s="37" t="n"/>
      <c r="C54" s="25" t="inlineStr">
        <is>
          <t>date</t>
        </is>
      </c>
      <c r="D54" s="25" t="inlineStr">
        <is>
          <t>RAW</t>
        </is>
      </c>
      <c r="E54" s="26" t="inlineStr">
        <is>
          <t>Direct column</t>
        </is>
      </c>
      <c r="F54" s="26" t="inlineStr">
        <is>
          <t>public.clients.renewal_date — mentee-operations-panel.tsx:211-216 (labeled 'Action date')</t>
        </is>
      </c>
      <c r="G54" s="26" t="inlineStr">
        <is>
          <t>All-time</t>
        </is>
      </c>
      <c r="H54" s="38" t="inlineStr">
        <is>
          <t>PARTIALLY CONNECTED</t>
        </is>
      </c>
      <c r="I54" s="28" t="inlineStr">
        <is>
          <t>FULF-0682</t>
        </is>
      </c>
    </row>
    <row r="55" ht="6" customHeight="1"/>
    <row r="56" ht="20" customHeight="1">
      <c r="A56" s="22" t="inlineStr">
        <is>
          <t>COMMS PANEL</t>
        </is>
      </c>
    </row>
    <row r="57" ht="30" customHeight="1">
      <c r="A57" s="29" t="inlineStr">
        <is>
          <t>Payment due</t>
        </is>
      </c>
      <c r="B57" s="37" t="n"/>
      <c r="C57" s="31" t="inlineStr">
        <is>
          <t>count (badge)</t>
        </is>
      </c>
      <c r="D57" s="31" t="inlineStr">
        <is>
          <t>RAW</t>
        </is>
      </c>
      <c r="E57" s="32" t="inlineStr">
        <is>
          <t>Virtual trigger: client.expected_next_payment_date within 0-14 days AND not already queued/dismissed</t>
        </is>
      </c>
      <c r="F57" s="32" t="inlineStr">
        <is>
          <t>public.scheduled_communications.trigger_type='payment_due' — src/components/mentee-scheduled-comms.tsx:67-90 (virtual, computed) + rows once queued</t>
        </is>
      </c>
      <c r="G57" s="32" t="inlineStr">
        <is>
          <t>Next 14 days (virtual) / all-time (once queued)</t>
        </is>
      </c>
      <c r="H57" s="27" t="inlineStr">
        <is>
          <t>LIVE</t>
        </is>
      </c>
      <c r="I57" s="33" t="inlineStr">
        <is>
          <t>FULF-0683</t>
        </is>
      </c>
    </row>
    <row r="58" ht="30" customHeight="1">
      <c r="A58" s="23" t="inlineStr">
        <is>
          <t>Renewal due</t>
        </is>
      </c>
      <c r="B58" s="37" t="n"/>
      <c r="C58" s="25" t="inlineStr">
        <is>
          <t>count (badge)</t>
        </is>
      </c>
      <c r="D58" s="25" t="inlineStr">
        <is>
          <t>RAW</t>
        </is>
      </c>
      <c r="E58" s="26" t="inlineStr">
        <is>
          <t>Virtual trigger: client.renewal_date within 0-14 days</t>
        </is>
      </c>
      <c r="F58" s="26" t="inlineStr">
        <is>
          <t>Same as 0683 — trigger_type='renewal_due'</t>
        </is>
      </c>
      <c r="G58" s="26" t="inlineStr">
        <is>
          <t>Next 14 days / all-time once queued</t>
        </is>
      </c>
      <c r="H58" s="27" t="inlineStr">
        <is>
          <t>LIVE</t>
        </is>
      </c>
      <c r="I58" s="28" t="inlineStr">
        <is>
          <t>FULF-0684</t>
        </is>
      </c>
    </row>
    <row r="59" ht="30" customHeight="1">
      <c r="A59" s="29" t="inlineStr">
        <is>
          <t>Pending triggers</t>
        </is>
      </c>
      <c r="B59" s="37" t="n"/>
      <c r="C59" s="31" t="inlineStr">
        <is>
          <t>count</t>
        </is>
      </c>
      <c r="D59" s="31" t="inlineStr">
        <is>
          <t>AGGREGATED</t>
        </is>
      </c>
      <c r="E59" s="32" t="inlineStr">
        <is>
          <t>Count of virtual (not-yet-queued) triggers = 0683 count + 0684 count, minus dismissed</t>
        </is>
      </c>
      <c r="F59" s="32" t="inlineStr">
        <is>
          <t>mentee-scheduled-comms.tsx:67-90 pendingTriggers</t>
        </is>
      </c>
      <c r="G59" s="32" t="inlineStr">
        <is>
          <t>Next 14 days</t>
        </is>
      </c>
      <c r="H59" s="27" t="inlineStr">
        <is>
          <t>LIVE</t>
        </is>
      </c>
      <c r="I59" s="33" t="inlineStr">
        <is>
          <t>FULF-0685</t>
        </is>
      </c>
    </row>
    <row r="60" ht="30" customHeight="1">
      <c r="A60" s="23" t="inlineStr">
        <is>
          <t>Queue</t>
        </is>
      </c>
      <c r="B60" s="37" t="n"/>
      <c r="C60" s="25" t="inlineStr">
        <is>
          <t>count</t>
        </is>
      </c>
      <c r="D60" s="25" t="inlineStr">
        <is>
          <t>AGGREGATED</t>
        </is>
      </c>
      <c r="E60" s="26" t="inlineStr">
        <is>
          <t>scheduled.length (real persisted rows)</t>
        </is>
      </c>
      <c r="F60" s="26" t="inlineStr">
        <is>
          <t>public.scheduled_communications rows — mentee-scheduled-comms.tsx:220-265</t>
        </is>
      </c>
      <c r="G60" s="26" t="inlineStr">
        <is>
          <t>All-time</t>
        </is>
      </c>
      <c r="H60" s="38" t="inlineStr">
        <is>
          <t>PARTIALLY CONNECTED</t>
        </is>
      </c>
      <c r="I60" s="28" t="inlineStr">
        <is>
          <t>FULF-0686</t>
        </is>
      </c>
    </row>
    <row r="61" ht="6" customHeight="1"/>
    <row r="62" ht="20" customHeight="1">
      <c r="A62" s="22" t="inlineStr">
        <is>
          <t>PORTFOLIO</t>
        </is>
      </c>
    </row>
    <row r="63" ht="30" customHeight="1">
      <c r="A63" s="29" t="inlineStr">
        <is>
          <t>value</t>
        </is>
      </c>
      <c r="B63" s="34" t="n"/>
      <c r="C63" s="31" t="inlineStr">
        <is>
          <t>$</t>
        </is>
      </c>
      <c r="D63" s="31" t="inlineStr">
        <is>
          <t>AGGREGATED</t>
        </is>
      </c>
      <c r="E63" s="32" t="inlineStr">
        <is>
          <t>sum(contract_value_cents) over ALL clients unconditionally — no date range</t>
        </is>
      </c>
      <c r="F63" s="32" t="inlineStr">
        <is>
          <t>public.clients.contract_value_cents — src/components/mentee-renewal-panel.tsx:1009-1010</t>
        </is>
      </c>
      <c r="G63" s="32" t="inlineStr">
        <is>
          <t>All-time</t>
        </is>
      </c>
      <c r="H63" s="27" t="inlineStr">
        <is>
          <t>LIVE</t>
        </is>
      </c>
      <c r="I63" s="33" t="inlineStr">
        <is>
          <t>FULF-0687</t>
        </is>
      </c>
    </row>
    <row r="64" ht="30" customHeight="1">
      <c r="A64" s="23" t="inlineStr">
        <is>
          <t>active</t>
        </is>
      </c>
      <c r="B64" s="37" t="n"/>
      <c r="C64" s="25" t="inlineStr">
        <is>
          <t>count</t>
        </is>
      </c>
      <c r="D64" s="25" t="inlineStr">
        <is>
          <t>AGGREGATED</t>
        </is>
      </c>
      <c r="E64" s="26" t="inlineStr">
        <is>
          <t>count(status==='active')</t>
        </is>
      </c>
      <c r="F64" s="26" t="inlineStr">
        <is>
          <t>public.clients.status — mentee-renewal-panel.tsx:1008</t>
        </is>
      </c>
      <c r="G64" s="26" t="inlineStr">
        <is>
          <t>All-time</t>
        </is>
      </c>
      <c r="H64" s="27" t="inlineStr">
        <is>
          <t>LIVE</t>
        </is>
      </c>
      <c r="I64" s="28" t="inlineStr">
        <is>
          <t>FULF-0688</t>
        </is>
      </c>
    </row>
    <row r="65" ht="30" customHeight="1">
      <c r="A65" s="29" t="inlineStr">
        <is>
          <t>renewals &lt;Nd</t>
        </is>
      </c>
      <c r="B65" s="37" t="n"/>
      <c r="C65" s="31" t="inlineStr">
        <is>
          <t>count</t>
        </is>
      </c>
      <c r="D65" s="31" t="inlineStr">
        <is>
          <t>AGGREGATED</t>
        </is>
      </c>
      <c r="E65" s="32" t="inlineStr">
        <is>
          <t>count(daysUntilDate(renewal_date) in [0, renewalAtRiskDays))</t>
        </is>
      </c>
      <c r="F65" s="32" t="inlineStr">
        <is>
          <t>public.clients.renewal_date — mentee-renewal-panel.tsx:1011-1015, N = workspace setting clients.renewalAtRiskDays (default in src/lib/workspace-settings.functions.ts)</t>
        </is>
      </c>
      <c r="G65" s="32" t="inlineStr">
        <is>
          <t>Live (relative to today)</t>
        </is>
      </c>
      <c r="H65" s="27" t="inlineStr">
        <is>
          <t>LIVE</t>
        </is>
      </c>
      <c r="I65" s="33" t="inlineStr">
        <is>
          <t>FULF-0689</t>
        </is>
      </c>
    </row>
    <row r="66" ht="30" customHeight="1">
      <c r="A66" s="23" t="inlineStr">
        <is>
          <t>at-risk</t>
        </is>
      </c>
      <c r="B66" s="37" t="n"/>
      <c r="C66" s="25" t="inlineStr">
        <is>
          <t>count</t>
        </is>
      </c>
      <c r="D66" s="25" t="inlineStr">
        <is>
          <t>AGGREGATED</t>
        </is>
      </c>
      <c r="E66" s="26" t="inlineStr">
        <is>
          <t>count of clients where clientAtRiskReason() returns non-null (renewal&lt;Nd with no conversation started OR renewal overdue)</t>
        </is>
      </c>
      <c r="F66" s="26" t="inlineStr">
        <is>
          <t>src/lib/client-risk.ts clientAtRiskReason() — mentee-renewal-panel.tsx:1131-1140</t>
        </is>
      </c>
      <c r="G66" s="26" t="inlineStr">
        <is>
          <t>Live</t>
        </is>
      </c>
      <c r="H66" s="27" t="inlineStr">
        <is>
          <t>LIVE</t>
        </is>
      </c>
      <c r="I66" s="28" t="inlineStr">
        <is>
          <t>FULF-0690</t>
        </is>
      </c>
    </row>
    <row r="67" ht="6" customHeight="1"/>
    <row r="68" ht="20" customHeight="1">
      <c r="A68" s="22" t="inlineStr">
        <is>
          <t>ALL MENTEES TABLE</t>
        </is>
      </c>
    </row>
    <row r="69" ht="30" customHeight="1">
      <c r="A69" s="29" t="inlineStr">
        <is>
          <t>Contract</t>
        </is>
      </c>
      <c r="B69" s="34" t="n"/>
      <c r="C69" s="31" t="inlineStr">
        <is>
          <t>$</t>
        </is>
      </c>
      <c r="D69" s="31" t="inlineStr">
        <is>
          <t>RAW</t>
        </is>
      </c>
      <c r="E69" s="32" t="inlineStr">
        <is>
          <t>Direct column</t>
        </is>
      </c>
      <c r="F69" s="32" t="inlineStr">
        <is>
          <t>public.clients.contract_value_cents — mentee-renewal-panel.tsx:1838-1840</t>
        </is>
      </c>
      <c r="G69" s="32" t="inlineStr">
        <is>
          <t>Per-row</t>
        </is>
      </c>
      <c r="H69" s="27" t="inlineStr">
        <is>
          <t>LIVE</t>
        </is>
      </c>
      <c r="I69" s="33" t="inlineStr">
        <is>
          <t>FULF-0691</t>
        </is>
      </c>
    </row>
    <row r="70" ht="30" customHeight="1">
      <c r="A70" s="23" t="inlineStr">
        <is>
          <t>Balance</t>
        </is>
      </c>
      <c r="B70" s="34" t="n"/>
      <c r="C70" s="25" t="inlineStr">
        <is>
          <t>$</t>
        </is>
      </c>
      <c r="D70" s="25" t="inlineStr">
        <is>
          <t>DERIVED</t>
        </is>
      </c>
      <c r="E70" s="26" t="inlineStr">
        <is>
          <t>max(0, contract_value_cents - invested_to_date_cents)</t>
        </is>
      </c>
      <c r="F70" s="26" t="inlineStr">
        <is>
          <t>mentee-renewal-panel.tsx:1815-1818</t>
        </is>
      </c>
      <c r="G70" s="26" t="inlineStr">
        <is>
          <t>Per-row</t>
        </is>
      </c>
      <c r="H70" s="27" t="inlineStr">
        <is>
          <t>LIVE</t>
        </is>
      </c>
      <c r="I70" s="28" t="inlineStr">
        <is>
          <t>FULF-0692</t>
        </is>
      </c>
    </row>
    <row r="71" ht="30" customHeight="1">
      <c r="A71" s="29" t="inlineStr">
        <is>
          <t>Plan progress</t>
        </is>
      </c>
      <c r="B71" s="37" t="n"/>
      <c r="C71" s="31" t="inlineStr">
        <is>
          <t>text ('3/5 paid')</t>
        </is>
      </c>
      <c r="D71" s="31" t="inlineStr">
        <is>
          <t>DERIVED</t>
        </is>
      </c>
      <c r="E71" s="32" t="inlineStr">
        <is>
          <t>count(status='paid')/count(total) schedule items for that client → 'X/Y paid' progress bar; falls back to 'N left (no schedule)' if no schedule rows exist</t>
        </is>
      </c>
      <c r="F71" s="32" t="inlineStr">
        <is>
          <t>public.payment_schedule_items — src/lib/mentee-payments.ts:107-114 paymentProgress(), mentee-renewal-panel.tsx:1790-1791,1844-1864</t>
        </is>
      </c>
      <c r="G71" s="32" t="inlineStr">
        <is>
          <t>Per-row (all-time for that client's schedule)</t>
        </is>
      </c>
      <c r="H71" s="27" t="inlineStr">
        <is>
          <t>LIVE</t>
        </is>
      </c>
      <c r="I71" s="33" t="inlineStr">
        <is>
          <t>FULF-0693</t>
        </is>
      </c>
    </row>
    <row r="72" ht="30" customHeight="1">
      <c r="A72" s="23" t="inlineStr">
        <is>
          <t>Payment status</t>
        </is>
      </c>
      <c r="B72" s="37" t="n"/>
      <c r="C72" s="25" t="inlineStr">
        <is>
          <t>text (enum)</t>
        </is>
      </c>
      <c r="D72" s="25" t="inlineStr">
        <is>
          <t>DERIVED</t>
        </is>
      </c>
      <c r="E72" s="26" t="inlineStr">
        <is>
          <t>'Paid in full' (not on a plan) / 'Overdue' (any schedule item aged past due) / 'Scheduled' (has an upcoming item) / 'Paid' (all items paid) / 'No schedule'</t>
        </is>
      </c>
      <c r="F72" s="26" t="inlineStr">
        <is>
          <t>mentee-renewal-panel.tsx:1792-1810, using effectiveScheduleStatus() (mentee-payments.ts:67-75)</t>
        </is>
      </c>
      <c r="G72" s="26" t="inlineStr">
        <is>
          <t>Read-time computed (ages 'scheduled' to 'overdue' as dates pass — no background job)</t>
        </is>
      </c>
      <c r="H72" s="27" t="inlineStr">
        <is>
          <t>LIVE</t>
        </is>
      </c>
      <c r="I72" s="28" t="inlineStr">
        <is>
          <t>FULF-0694</t>
        </is>
      </c>
    </row>
    <row r="73" ht="30" customHeight="1">
      <c r="A73" s="29" t="inlineStr">
        <is>
          <t>Days overdue</t>
        </is>
      </c>
      <c r="B73" s="37" t="n"/>
      <c r="C73" s="31" t="inlineStr">
        <is>
          <t>count (days)</t>
        </is>
      </c>
      <c r="D73" s="31" t="inlineStr">
        <is>
          <t>DERIVED</t>
        </is>
      </c>
      <c r="E73" s="32" t="inlineStr">
        <is>
          <t>abs(daysBetween(earliest overdue item's due_date))</t>
        </is>
      </c>
      <c r="F73" s="32" t="inlineStr">
        <is>
          <t>mentee-renewal-panel.tsx:1811-1813</t>
        </is>
      </c>
      <c r="G73" s="32" t="inlineStr">
        <is>
          <t>Live</t>
        </is>
      </c>
      <c r="H73" s="27" t="inlineStr">
        <is>
          <t>LIVE</t>
        </is>
      </c>
      <c r="I73" s="33" t="inlineStr">
        <is>
          <t>FULF-0695</t>
        </is>
      </c>
    </row>
    <row r="74" ht="30" customHeight="1">
      <c r="A74" s="23" t="inlineStr">
        <is>
          <t>Cadence</t>
        </is>
      </c>
      <c r="B74" s="37" t="n"/>
      <c r="C74" s="25" t="inlineStr">
        <is>
          <t>text</t>
        </is>
      </c>
      <c r="D74" s="25" t="inlineStr">
        <is>
          <t>RAW</t>
        </is>
      </c>
      <c r="E74" s="26" t="inlineStr">
        <is>
          <t>'Monthly' if payment_plan else '—'</t>
        </is>
      </c>
      <c r="F74" s="26" t="inlineStr">
        <is>
          <t>public.clients.payment_plan — mentee-renewal-panel.tsx:1892-1894</t>
        </is>
      </c>
      <c r="G74" s="26" t="inlineStr">
        <is>
          <t>Per-row</t>
        </is>
      </c>
      <c r="H74" s="38" t="inlineStr">
        <is>
          <t>PARTIALLY CONNECTED</t>
        </is>
      </c>
      <c r="I74" s="28" t="inlineStr">
        <is>
          <t>FULF-0696</t>
        </is>
      </c>
    </row>
    <row r="75" ht="30" customHeight="1">
      <c r="A75" s="29" t="inlineStr">
        <is>
          <t>Next payment</t>
        </is>
      </c>
      <c r="B75" s="37" t="n"/>
      <c r="C75" s="31" t="inlineStr">
        <is>
          <t>date + $</t>
        </is>
      </c>
      <c r="D75" s="31" t="inlineStr">
        <is>
          <t>RAW</t>
        </is>
      </c>
      <c r="E75" s="32" t="inlineStr">
        <is>
          <t>Direct columns</t>
        </is>
      </c>
      <c r="F75" s="32" t="inlineStr">
        <is>
          <t>public.clients.expected_next_payment_date/_cents — mentee-renewal-panel.tsx:1895-1902</t>
        </is>
      </c>
      <c r="G75" s="32" t="inlineStr">
        <is>
          <t>Per-row</t>
        </is>
      </c>
      <c r="H75" s="27" t="inlineStr">
        <is>
          <t>LIVE</t>
        </is>
      </c>
      <c r="I75" s="33" t="inlineStr">
        <is>
          <t>FULF-0697</t>
        </is>
      </c>
    </row>
    <row r="76" ht="30" customHeight="1">
      <c r="A76" s="23" t="inlineStr">
        <is>
          <t>Last payment</t>
        </is>
      </c>
      <c r="B76" s="37" t="n"/>
      <c r="C76" s="25" t="inlineStr">
        <is>
          <t>date</t>
        </is>
      </c>
      <c r="D76" s="25" t="inlineStr">
        <is>
          <t>DERIVED</t>
        </is>
      </c>
      <c r="E76" s="26" t="inlineStr">
        <is>
          <t>max(collected_at) over that client's payments</t>
        </is>
      </c>
      <c r="F76" s="26" t="inlineStr">
        <is>
          <t>public.payments.collected_at (max per client) — mentee-renewal-panel.tsx:1031-1039,1903-1905</t>
        </is>
      </c>
      <c r="G76" s="26" t="inlineStr">
        <is>
          <t>Per-row (all-time)</t>
        </is>
      </c>
      <c r="H76" s="27" t="inlineStr">
        <is>
          <t>LIVE</t>
        </is>
      </c>
      <c r="I76" s="28" t="inlineStr">
        <is>
          <t>FULF-0698</t>
        </is>
      </c>
    </row>
    <row r="77" ht="30" customHeight="1">
      <c r="A77" s="29" t="inlineStr">
        <is>
          <t>Renewal</t>
        </is>
      </c>
      <c r="B77" s="37" t="n"/>
      <c r="C77" s="31" t="inlineStr">
        <is>
          <t>date</t>
        </is>
      </c>
      <c r="D77" s="31" t="inlineStr">
        <is>
          <t>RAW</t>
        </is>
      </c>
      <c r="E77" s="32" t="inlineStr">
        <is>
          <t>Direct column</t>
        </is>
      </c>
      <c r="F77" s="32" t="inlineStr">
        <is>
          <t>public.clients.renewal_date — mentee-renewal-panel.tsx:1906</t>
        </is>
      </c>
      <c r="G77" s="32" t="inlineStr">
        <is>
          <t>Per-row</t>
        </is>
      </c>
      <c r="H77" s="27" t="inlineStr">
        <is>
          <t>LIVE</t>
        </is>
      </c>
      <c r="I77" s="33" t="inlineStr">
        <is>
          <t>FULF-0699</t>
        </is>
      </c>
    </row>
    <row r="78" ht="30" customHeight="1">
      <c r="A78" s="23" t="inlineStr">
        <is>
          <t>Stage</t>
        </is>
      </c>
      <c r="B78" s="24" t="inlineStr">
        <is>
          <t>n/a</t>
        </is>
      </c>
      <c r="C78" s="25" t="inlineStr">
        <is>
          <t>text (enum)</t>
        </is>
      </c>
      <c r="D78" s="25" t="inlineStr">
        <is>
          <t>STATUS</t>
        </is>
      </c>
      <c r="E78" s="26" t="inlineStr">
        <is>
          <t>Direct column via stageLabel()</t>
        </is>
      </c>
      <c r="F78" s="26" t="inlineStr">
        <is>
          <t>public.clients.renewal_stage — mentee-renewal-panel.tsx:1907-1911</t>
        </is>
      </c>
      <c r="G78" s="26" t="inlineStr">
        <is>
          <t>Per-row</t>
        </is>
      </c>
      <c r="H78" s="27" t="inlineStr">
        <is>
          <t>LIVE</t>
        </is>
      </c>
      <c r="I78" s="28" t="inlineStr">
        <is>
          <t>FULF-0700</t>
        </is>
      </c>
    </row>
    <row r="79" ht="30" customHeight="1">
      <c r="A79" s="29" t="inlineStr">
        <is>
          <t>Owner/next step</t>
        </is>
      </c>
      <c r="B79" s="37" t="n"/>
      <c r="C79" s="31" t="inlineStr">
        <is>
          <t>text</t>
        </is>
      </c>
      <c r="D79" s="31" t="inlineStr">
        <is>
          <t>RAW</t>
        </is>
      </c>
      <c r="E79" s="32" t="inlineStr">
        <is>
          <t>Direct column ('Unassigned' fallback)</t>
        </is>
      </c>
      <c r="F79" s="32" t="inlineStr">
        <is>
          <t>public.renewal_work_items.next_action — mentee-renewal-panel.tsx:1912-1914</t>
        </is>
      </c>
      <c r="G79" s="32" t="inlineStr">
        <is>
          <t>Per-row</t>
        </is>
      </c>
      <c r="H79" s="38" t="inlineStr">
        <is>
          <t>PARTIALLY CONNECTED</t>
        </is>
      </c>
      <c r="I79" s="33" t="inlineStr">
        <is>
          <t>FULF-0701</t>
        </is>
      </c>
    </row>
    <row r="80" ht="30" customHeight="1">
      <c r="A80" s="23" t="inlineStr">
        <is>
          <t>Health</t>
        </is>
      </c>
      <c r="B80" s="37" t="n"/>
      <c r="C80" s="25" t="inlineStr">
        <is>
          <t>text (enum: healthy/watch/at_risk/critical/unavailable)</t>
        </is>
      </c>
      <c r="D80" s="25" t="inlineStr">
        <is>
          <t>DERIVED</t>
        </is>
      </c>
      <c r="E80" s="26" t="inlineStr">
        <is>
          <t>Rule-based (not AI) health status from renewal proximity, whether a renewal conversation started, overdue $, failed-payment $, and days since last activity — always shows its real reasons, never a bare score alone</t>
        </is>
      </c>
      <c r="F80" s="26" t="inlineStr">
        <is>
          <t>src/lib/client-risk.ts evaluateTransparentHealth() — mentee-renewal-panel.tsx:1053-1080,1915-1932</t>
        </is>
      </c>
      <c r="G80" s="26" t="inlineStr">
        <is>
          <t>Live</t>
        </is>
      </c>
      <c r="H80" s="27" t="inlineStr">
        <is>
          <t>LIVE</t>
        </is>
      </c>
      <c r="I80" s="28" t="inlineStr">
        <is>
          <t>FULF-0702</t>
        </is>
      </c>
    </row>
    <row r="81" ht="6" customHeight="1"/>
    <row r="82" ht="20" customHeight="1">
      <c r="A82" s="22" t="inlineStr">
        <is>
          <t>LTV BY OFFER</t>
        </is>
      </c>
    </row>
    <row r="83" ht="30" customHeight="1">
      <c r="A83" s="29" t="inlineStr">
        <is>
          <t>Mentees</t>
        </is>
      </c>
      <c r="B83" s="37" t="n"/>
      <c r="C83" s="31" t="inlineStr">
        <is>
          <t>count</t>
        </is>
      </c>
      <c r="D83" s="31" t="inlineStr">
        <is>
          <t>AGGREGATED</t>
        </is>
      </c>
      <c r="E83" s="32" t="inlineStr">
        <is>
          <t>count(clients) grouped by offer_name</t>
        </is>
      </c>
      <c r="F83" s="32" t="inlineStr">
        <is>
          <t>mentee-renewal-panel.tsx:1142-1160</t>
        </is>
      </c>
      <c r="G83" s="32" t="inlineStr">
        <is>
          <t>All-time (filtered view)</t>
        </is>
      </c>
      <c r="H83" s="27" t="inlineStr">
        <is>
          <t>LIVE</t>
        </is>
      </c>
      <c r="I83" s="33" t="inlineStr">
        <is>
          <t>FULF-0703</t>
        </is>
      </c>
    </row>
    <row r="84" ht="30" customHeight="1">
      <c r="A84" s="23" t="inlineStr">
        <is>
          <t>Contracted</t>
        </is>
      </c>
      <c r="B84" s="34" t="n"/>
      <c r="C84" s="25" t="inlineStr">
        <is>
          <t>$</t>
        </is>
      </c>
      <c r="D84" s="25" t="inlineStr">
        <is>
          <t>AGGREGATED</t>
        </is>
      </c>
      <c r="E84" s="26" t="inlineStr">
        <is>
          <t>sum(contract_value_cents) grouped by offer_name</t>
        </is>
      </c>
      <c r="F84" s="26" t="inlineStr">
        <is>
          <t>Same as 0703</t>
        </is>
      </c>
      <c r="G84" s="26" t="inlineStr">
        <is>
          <t>All-time</t>
        </is>
      </c>
      <c r="H84" s="27" t="inlineStr">
        <is>
          <t>LIVE</t>
        </is>
      </c>
      <c r="I84" s="28" t="inlineStr">
        <is>
          <t>FULF-0704</t>
        </is>
      </c>
    </row>
    <row r="85" ht="30" customHeight="1">
      <c r="A85" s="29" t="inlineStr">
        <is>
          <t>Collected</t>
        </is>
      </c>
      <c r="B85" s="34" t="n"/>
      <c r="C85" s="31" t="inlineStr">
        <is>
          <t>$ (given unit=count is wrong)</t>
        </is>
      </c>
      <c r="D85" s="31" t="inlineStr">
        <is>
          <t>AGGREGATED</t>
        </is>
      </c>
      <c r="E85" s="32" t="inlineStr">
        <is>
          <t>sum(amount_cents) where status='paid' grouped by the client's offer_name</t>
        </is>
      </c>
      <c r="F85" s="32" t="inlineStr">
        <is>
          <t>src/lib/mentee-payments.ts:484-497 collectedLtvByOffer() — mentee-renewal-panel.tsx:1166-1173</t>
        </is>
      </c>
      <c r="G85" s="32" t="inlineStr">
        <is>
          <t>All-time</t>
        </is>
      </c>
      <c r="H85" s="27" t="inlineStr">
        <is>
          <t>LIVE</t>
        </is>
      </c>
      <c r="I85" s="33" t="inlineStr">
        <is>
          <t>FULF-0705</t>
        </is>
      </c>
    </row>
    <row r="86" ht="30" customHeight="1">
      <c r="A86" s="23" t="inlineStr">
        <is>
          <t>Avg deal</t>
        </is>
      </c>
      <c r="B86" s="34" t="n"/>
      <c r="C86" s="25" t="inlineStr">
        <is>
          <t>$ (given unit=% is wrong)</t>
        </is>
      </c>
      <c r="D86" s="25" t="inlineStr">
        <is>
          <t>DERIVED</t>
        </is>
      </c>
      <c r="E86" s="26" t="inlineStr">
        <is>
          <t>total contracted / mentee count, per offer</t>
        </is>
      </c>
      <c r="F86" s="26" t="inlineStr">
        <is>
          <t>mentee-renewal-panel.tsx:1628-1630</t>
        </is>
      </c>
      <c r="G86" s="26" t="inlineStr">
        <is>
          <t>All-time</t>
        </is>
      </c>
      <c r="H86" s="27" t="inlineStr">
        <is>
          <t>LIVE</t>
        </is>
      </c>
      <c r="I86" s="28" t="inlineStr">
        <is>
          <t>FULF-0706</t>
        </is>
      </c>
    </row>
    <row r="87" ht="30" customHeight="1">
      <c r="A87" s="29" t="inlineStr">
        <is>
          <t>% of revenue</t>
        </is>
      </c>
      <c r="B87" s="39" t="n"/>
      <c r="C87" s="31" t="inlineStr">
        <is>
          <t>%</t>
        </is>
      </c>
      <c r="D87" s="31" t="inlineStr">
        <is>
          <t>DERIVED</t>
        </is>
      </c>
      <c r="E87" s="32" t="inlineStr">
        <is>
          <t>offer's contracted total / total portfolio contractedLtv * 100</t>
        </is>
      </c>
      <c r="F87" s="32" t="inlineStr">
        <is>
          <t>mentee-renewal-panel.tsx:1616</t>
        </is>
      </c>
      <c r="G87" s="32" t="inlineStr">
        <is>
          <t>All-time</t>
        </is>
      </c>
      <c r="H87" s="27" t="inlineStr">
        <is>
          <t>LIVE</t>
        </is>
      </c>
      <c r="I87" s="33" t="inlineStr">
        <is>
          <t>FULF-0707</t>
        </is>
      </c>
    </row>
    <row r="88" ht="6" customHeight="1"/>
    <row r="89" ht="20" customHeight="1">
      <c r="A89" s="22" t="inlineStr">
        <is>
          <t>RETENTION ANALYTICS</t>
        </is>
      </c>
    </row>
    <row r="90" ht="30" customHeight="1">
      <c r="A90" s="23" t="inlineStr">
        <is>
          <t>Renewal rate</t>
        </is>
      </c>
      <c r="B90" s="39" t="n"/>
      <c r="C90" s="25" t="inlineStr">
        <is>
          <t>%</t>
        </is>
      </c>
      <c r="D90" s="25" t="inlineStr">
        <is>
          <t>DERIVED</t>
        </is>
      </c>
      <c r="E90" s="26" t="inlineStr">
        <is>
          <t>won / (won+churned) — decided-only, mid-pipeline mentees excluded from denominator</t>
        </is>
      </c>
      <c r="F90" s="26" t="inlineStr">
        <is>
          <t>src/lib/mentee-payments.ts:407-418 renewalRatePct() — mentee-renewal-panel.tsx:1174,1664-1668</t>
        </is>
      </c>
      <c r="G90" s="26" t="inlineStr">
        <is>
          <t>All-time (filtered view)</t>
        </is>
      </c>
      <c r="H90" s="27" t="inlineStr">
        <is>
          <t>LIVE</t>
        </is>
      </c>
      <c r="I90" s="28" t="inlineStr">
        <is>
          <t>FULF-0708</t>
        </is>
      </c>
    </row>
    <row r="91" ht="30" customHeight="1">
      <c r="A91" s="29" t="inlineStr">
        <is>
          <t>Renewal pipeline value</t>
        </is>
      </c>
      <c r="B91" s="34" t="n"/>
      <c r="C91" s="31" t="inlineStr">
        <is>
          <t>$</t>
        </is>
      </c>
      <c r="D91" s="31" t="inlineStr">
        <is>
          <t>AGGREGATED</t>
        </is>
      </c>
      <c r="E91" s="32" t="inlineStr">
        <is>
          <t>sum(contract_value_cents) for clients in a non-terminal renewal_stage</t>
        </is>
      </c>
      <c r="F91" s="32" t="inlineStr">
        <is>
          <t>mentee-payments.ts:421-425 renewalPipelineValueCents()</t>
        </is>
      </c>
      <c r="G91" s="32" t="inlineStr">
        <is>
          <t>All-time</t>
        </is>
      </c>
      <c r="H91" s="27" t="inlineStr">
        <is>
          <t>LIVE</t>
        </is>
      </c>
      <c r="I91" s="33" t="inlineStr">
        <is>
          <t>FULF-0709</t>
        </is>
      </c>
    </row>
    <row r="92" ht="30" customHeight="1">
      <c r="A92" s="23" t="inlineStr">
        <is>
          <t>Churned value</t>
        </is>
      </c>
      <c r="B92" s="34" t="n"/>
      <c r="C92" s="25" t="inlineStr">
        <is>
          <t>$</t>
        </is>
      </c>
      <c r="D92" s="25" t="inlineStr">
        <is>
          <t>AGGREGATED</t>
        </is>
      </c>
      <c r="E92" s="26" t="inlineStr">
        <is>
          <t>sum(contract_value_cents) where renewal_stage='churned'</t>
        </is>
      </c>
      <c r="F92" s="26" t="inlineStr">
        <is>
          <t>mentee-payments.ts:428-432 churnedValueCents()</t>
        </is>
      </c>
      <c r="G92" s="26" t="inlineStr">
        <is>
          <t>All-time</t>
        </is>
      </c>
      <c r="H92" s="27" t="inlineStr">
        <is>
          <t>LIVE</t>
        </is>
      </c>
      <c r="I92" s="28" t="inlineStr">
        <is>
          <t>FULF-0710</t>
        </is>
      </c>
    </row>
    <row r="93" ht="30" customHeight="1">
      <c r="A93" s="29" t="inlineStr">
        <is>
          <t>Avg tenure at renewal decision</t>
        </is>
      </c>
      <c r="B93" s="37" t="n"/>
      <c r="C93" s="31" t="inlineStr">
        <is>
          <t>days (given unit=% is wrong)</t>
        </is>
      </c>
      <c r="D93" s="31" t="inlineStr">
        <is>
          <t>DERIVED</t>
        </is>
      </c>
      <c r="E93" s="32" t="inlineStr">
        <is>
          <t>avg(renewal_date - start_date) in days, for decided (won/churned) clients with a real renewal_date</t>
        </is>
      </c>
      <c r="F93" s="32" t="inlineStr">
        <is>
          <t>mentee-payments.ts:464-477 averageTenureAtRenewalOutcome()</t>
        </is>
      </c>
      <c r="G93" s="32" t="inlineStr">
        <is>
          <t>All-time</t>
        </is>
      </c>
      <c r="H93" s="27" t="inlineStr">
        <is>
          <t>LIVE</t>
        </is>
      </c>
      <c r="I93" s="33" t="inlineStr">
        <is>
          <t>FULF-0711</t>
        </is>
      </c>
    </row>
    <row r="94" ht="30" customHeight="1">
      <c r="A94" s="23" t="inlineStr">
        <is>
          <t>conversion by offer/health/plan type/acquisition source/closer</t>
        </is>
      </c>
      <c r="B94" s="39" t="n"/>
      <c r="C94" s="25" t="inlineStr">
        <is>
          <t>%</t>
        </is>
      </c>
      <c r="D94" s="25" t="inlineStr">
        <is>
          <t>DERIVED</t>
        </is>
      </c>
      <c r="E94" s="26" t="inlineStr">
        <is>
          <t>won/(won+churned) grouped by 5 different keys</t>
        </is>
      </c>
      <c r="F94" s="26" t="inlineStr">
        <is>
          <t>mentee-payments.ts:439-458 renewalConversionBy() (1 shared function, called 5x) — mentee-renewal-panel.tsx:1178-1224,1691-1710</t>
        </is>
      </c>
      <c r="G94" s="26" t="inlineStr">
        <is>
          <t>All-time</t>
        </is>
      </c>
      <c r="H94" s="27" t="inlineStr">
        <is>
          <t>LIVE</t>
        </is>
      </c>
      <c r="I94" s="28" t="inlineStr">
        <is>
          <t>FULF-0712</t>
        </is>
      </c>
    </row>
    <row r="95" ht="30" customHeight="1">
      <c r="A95" s="29" t="inlineStr">
        <is>
          <t>Churn reason breakdown</t>
        </is>
      </c>
      <c r="B95" s="37" t="n"/>
      <c r="C95" s="31" t="inlineStr">
        <is>
          <t>count</t>
        </is>
      </c>
      <c r="D95" s="31" t="inlineStr">
        <is>
          <t>AGGREGATED</t>
        </is>
      </c>
      <c r="E95" s="32" t="inlineStr">
        <is>
          <t>count grouped by renewal_outcome for churned clients; defaults to 'Not tracked' when null</t>
        </is>
      </c>
      <c r="F95" s="32" t="inlineStr">
        <is>
          <t>public.renewal_work_items.renewal_outcome — mentee-payments.ts:505-517 churnReasonBreakdown() — mentee-renewal-panel.tsx:1229-1236,1712-1739</t>
        </is>
      </c>
      <c r="G95" s="32" t="inlineStr">
        <is>
          <t>All-time</t>
        </is>
      </c>
      <c r="H95" s="38" t="inlineStr">
        <is>
          <t>PARTIALLY CONNECTED</t>
        </is>
      </c>
      <c r="I95" s="33" t="inlineStr">
        <is>
          <t>FULF-0713</t>
        </is>
      </c>
    </row>
    <row r="96" ht="6" customHeight="1"/>
    <row r="97" ht="20" customHeight="1">
      <c r="A97" s="22" t="inlineStr">
        <is>
          <t>NOT CONNECTED (DISCLOSED)</t>
        </is>
      </c>
    </row>
    <row r="98" ht="30" customHeight="1">
      <c r="A98" s="23" t="inlineStr">
        <is>
          <t>Gross/Net Revenue Retention</t>
        </is>
      </c>
      <c r="B98" s="34" t="n"/>
      <c r="C98" s="25" t="inlineStr">
        <is>
          <t>$</t>
        </is>
      </c>
      <c r="D98" s="25" t="inlineStr">
        <is>
          <t>NOT AVAILABLE</t>
        </is>
      </c>
      <c r="E98" s="26" t="inlineStr">
        <is>
          <t>N/A — this schema has no period-cohort snapshot table, so GRR/NRR would require guessing</t>
        </is>
      </c>
      <c r="F98" s="26" t="inlineStr">
        <is>
          <t>No source — explicitly disclosed as not shown, mentee-renewal-panel.tsx:1745-1752</t>
        </is>
      </c>
      <c r="G98" s="26" t="inlineStr">
        <is>
          <t>N/A</t>
        </is>
      </c>
      <c r="H98" s="36" t="inlineStr">
        <is>
          <t>NOT AVAILABLE</t>
        </is>
      </c>
      <c r="I98" s="28" t="inlineStr">
        <is>
          <t>FULF-0714</t>
        </is>
      </c>
    </row>
    <row r="99" ht="30" customHeight="1">
      <c r="A99" s="29" t="inlineStr">
        <is>
          <t>Save/Recovery Rate</t>
        </is>
      </c>
      <c r="B99" s="39" t="n"/>
      <c r="C99" s="31" t="inlineStr">
        <is>
          <t>%</t>
        </is>
      </c>
      <c r="D99" s="31" t="inlineStr">
        <is>
          <t>NOT AVAILABLE</t>
        </is>
      </c>
      <c r="E99" s="32" t="inlineStr">
        <is>
          <t>N/A — no historical risk-state-transition log exists to compute a true 'save rate'</t>
        </is>
      </c>
      <c r="F99" s="32" t="inlineStr">
        <is>
          <t>Same disclosure block as 0714</t>
        </is>
      </c>
      <c r="G99" s="32" t="inlineStr">
        <is>
          <t>N/A</t>
        </is>
      </c>
      <c r="H99" s="36" t="inlineStr">
        <is>
          <t>NOT AVAILABLE</t>
        </is>
      </c>
      <c r="I99" s="33" t="inlineStr">
        <is>
          <t>FULF-0715</t>
        </is>
      </c>
    </row>
    <row r="100" ht="30" customHeight="1">
      <c r="A100" s="23" t="inlineStr">
        <is>
          <t>Default vs Cancellation Rate</t>
        </is>
      </c>
      <c r="B100" s="39" t="n"/>
      <c r="C100" s="25" t="inlineStr">
        <is>
          <t>%</t>
        </is>
      </c>
      <c r="D100" s="25" t="inlineStr">
        <is>
          <t>NOT AVAILABLE</t>
        </is>
      </c>
      <c r="E100" s="26" t="inlineStr">
        <is>
          <t>N/A — same period-cohort gap</t>
        </is>
      </c>
      <c r="F100" s="26" t="inlineStr">
        <is>
          <t>Same disclosure block as 0714</t>
        </is>
      </c>
      <c r="G100" s="26" t="inlineStr">
        <is>
          <t>N/A</t>
        </is>
      </c>
      <c r="H100" s="36" t="inlineStr">
        <is>
          <t>NOT AVAILABLE</t>
        </is>
      </c>
      <c r="I100" s="28" t="inlineStr">
        <is>
          <t>FULF-0716</t>
        </is>
      </c>
    </row>
    <row r="101" ht="30" customHeight="1">
      <c r="A101" s="29" t="inlineStr">
        <is>
          <t>Avg Time to Pay in Full</t>
        </is>
      </c>
      <c r="B101" s="37" t="n"/>
      <c r="C101" s="31" t="inlineStr">
        <is>
          <t>days</t>
        </is>
      </c>
      <c r="D101" s="31" t="inlineStr">
        <is>
          <t>NOT AVAILABLE</t>
        </is>
      </c>
      <c r="E101" s="32" t="inlineStr">
        <is>
          <t>N/A — same period-cohort gap</t>
        </is>
      </c>
      <c r="F101" s="32" t="inlineStr">
        <is>
          <t>Same disclosure block as 0714</t>
        </is>
      </c>
      <c r="G101" s="32" t="inlineStr">
        <is>
          <t>N/A</t>
        </is>
      </c>
      <c r="H101" s="36" t="inlineStr">
        <is>
          <t>NOT AVAILABLE</t>
        </is>
      </c>
      <c r="I101" s="33" t="inlineStr">
        <is>
          <t>FULF-0717</t>
        </is>
      </c>
    </row>
    <row r="102" ht="6" customHeight="1"/>
    <row r="103" ht="20" customHeight="1">
      <c r="A103" s="22" t="inlineStr">
        <is>
          <t>LIFECYCLE EVIDENCE</t>
        </is>
      </c>
    </row>
    <row r="104" ht="30" customHeight="1">
      <c r="A104" s="23" t="inlineStr">
        <is>
          <t>Original Source</t>
        </is>
      </c>
      <c r="B104" s="24" t="inlineStr">
        <is>
          <t>n/a</t>
        </is>
      </c>
      <c r="C104" s="25" t="inlineStr">
        <is>
          <t>text</t>
        </is>
      </c>
      <c r="D104" s="25" t="inlineStr">
        <is>
          <t>DIMENSION</t>
        </is>
      </c>
      <c r="E104" s="26" t="inlineStr">
        <is>
          <t>Resolved lead → content → traffic_source chain</t>
        </is>
      </c>
      <c r="F104" s="26" t="inlineStr">
        <is>
          <t>leads.source_platform (via clients.lead_id) resolved through src/lib/traffic-hierarchy.ts resolveLead() — mentee-renewal-panel.tsx:359-368,681-798</t>
        </is>
      </c>
      <c r="G104" s="26" t="inlineStr">
        <is>
          <t>Per-mentee</t>
        </is>
      </c>
      <c r="H104" s="38" t="inlineStr">
        <is>
          <t>PARTIALLY CONNECTED</t>
        </is>
      </c>
      <c r="I104" s="28" t="inlineStr">
        <is>
          <t>FULF-0718</t>
        </is>
      </c>
    </row>
    <row r="105" ht="30" customHeight="1">
      <c r="A105" s="29" t="inlineStr">
        <is>
          <t>Setter/Dialer</t>
        </is>
      </c>
      <c r="B105" s="30" t="inlineStr">
        <is>
          <t>n/a</t>
        </is>
      </c>
      <c r="C105" s="31" t="inlineStr">
        <is>
          <t>text</t>
        </is>
      </c>
      <c r="D105" s="31" t="inlineStr">
        <is>
          <t>DIMENSION</t>
        </is>
      </c>
      <c r="E105" s="32" t="inlineStr">
        <is>
          <t>Most recent (or first closed) call for the mentee's lead → setter_id → profile name</t>
        </is>
      </c>
      <c r="F105" s="32" t="inlineStr">
        <is>
          <t>calls.setter_id ⋈ profiles.display_name — mentee-renewal-panel.tsx:367,763-793</t>
        </is>
      </c>
      <c r="G105" s="32" t="inlineStr">
        <is>
          <t>Per-mentee</t>
        </is>
      </c>
      <c r="H105" s="38" t="inlineStr">
        <is>
          <t>PARTIALLY CONNECTED</t>
        </is>
      </c>
      <c r="I105" s="33" t="inlineStr">
        <is>
          <t>FULF-0719</t>
        </is>
      </c>
    </row>
    <row r="106" ht="30" customHeight="1">
      <c r="A106" s="23" t="inlineStr">
        <is>
          <t>Closer</t>
        </is>
      </c>
      <c r="B106" s="24" t="inlineStr">
        <is>
          <t>n/a</t>
        </is>
      </c>
      <c r="C106" s="25" t="inlineStr">
        <is>
          <t>text</t>
        </is>
      </c>
      <c r="D106" s="25" t="inlineStr">
        <is>
          <t>DIMENSION</t>
        </is>
      </c>
      <c r="E106" s="26" t="inlineStr">
        <is>
          <t>Same mechanism as 0719 (closer_id instead of setter_id)</t>
        </is>
      </c>
      <c r="F106" s="26" t="inlineStr">
        <is>
          <t>calls.closer_id ⋈ profiles.display_name — same join chain as 0719</t>
        </is>
      </c>
      <c r="G106" s="26" t="inlineStr">
        <is>
          <t>Per-mentee</t>
        </is>
      </c>
      <c r="H106" s="38" t="inlineStr">
        <is>
          <t>PARTIALLY CONNECTED</t>
        </is>
      </c>
      <c r="I106" s="28" t="inlineStr">
        <is>
          <t>FULF-0720</t>
        </is>
      </c>
    </row>
    <row r="107" ht="30" customHeight="1">
      <c r="A107" s="29" t="inlineStr">
        <is>
          <t>Offer</t>
        </is>
      </c>
      <c r="B107" s="37" t="n"/>
      <c r="C107" s="31" t="inlineStr">
        <is>
          <t>text</t>
        </is>
      </c>
      <c r="D107" s="31" t="inlineStr">
        <is>
          <t>RAW</t>
        </is>
      </c>
      <c r="E107" s="32" t="inlineStr">
        <is>
          <t>Direct column</t>
        </is>
      </c>
      <c r="F107" s="32" t="inlineStr">
        <is>
          <t>public.clients.offer_name — mentee-renewal-panel.tsx:369</t>
        </is>
      </c>
      <c r="G107" s="32" t="inlineStr">
        <is>
          <t>Per-mentee</t>
        </is>
      </c>
      <c r="H107" s="27" t="inlineStr">
        <is>
          <t>LIVE</t>
        </is>
      </c>
      <c r="I107" s="33" t="inlineStr">
        <is>
          <t>FULF-0721</t>
        </is>
      </c>
    </row>
    <row r="108" ht="30" customHeight="1">
      <c r="A108" s="23" t="inlineStr">
        <is>
          <t>Payment Plan</t>
        </is>
      </c>
      <c r="B108" s="37" t="n"/>
      <c r="C108" s="25" t="inlineStr">
        <is>
          <t>text</t>
        </is>
      </c>
      <c r="D108" s="25" t="inlineStr">
        <is>
          <t>RAW</t>
        </is>
      </c>
      <c r="E108" s="26" t="inlineStr">
        <is>
          <t>'Payment Plan' or 'Paid in full'</t>
        </is>
      </c>
      <c r="F108" s="26" t="inlineStr">
        <is>
          <t>public.clients.payment_plan — mentee-renewal-panel.tsx:370-374</t>
        </is>
      </c>
      <c r="G108" s="26" t="inlineStr">
        <is>
          <t>Per-mentee</t>
        </is>
      </c>
      <c r="H108" s="27" t="inlineStr">
        <is>
          <t>LIVE</t>
        </is>
      </c>
      <c r="I108" s="28" t="inlineStr">
        <is>
          <t>FULF-0722</t>
        </is>
      </c>
    </row>
    <row r="109" ht="30" customHeight="1">
      <c r="A109" s="29" t="inlineStr">
        <is>
          <t>Cash</t>
        </is>
      </c>
      <c r="B109" s="34" t="n"/>
      <c r="C109" s="31" t="inlineStr">
        <is>
          <t>$</t>
        </is>
      </c>
      <c r="D109" s="31" t="inlineStr">
        <is>
          <t>RAW</t>
        </is>
      </c>
      <c r="E109" s="32" t="inlineStr">
        <is>
          <t>collectedCents for this client (sum of status='paid' payments)</t>
        </is>
      </c>
      <c r="F109" s="32" t="inlineStr">
        <is>
          <t>src/lib/payments-ledger.ts:184-201 computeClientCashPosition() — mentee-renewal-panel.tsx:307,375</t>
        </is>
      </c>
      <c r="G109" s="32" t="inlineStr">
        <is>
          <t>All-time</t>
        </is>
      </c>
      <c r="H109" s="27" t="inlineStr">
        <is>
          <t>LIVE</t>
        </is>
      </c>
      <c r="I109" s="33" t="inlineStr">
        <is>
          <t>FULF-0723</t>
        </is>
      </c>
    </row>
    <row r="110" ht="30" customHeight="1">
      <c r="A110" s="23" t="inlineStr">
        <is>
          <t>Cash position</t>
        </is>
      </c>
      <c r="B110" s="37" t="n"/>
      <c r="C110" s="25" t="inlineStr">
        <is>
          <t>text + $</t>
        </is>
      </c>
      <c r="D110" s="25" t="inlineStr">
        <is>
          <t>DERIVED</t>
        </is>
      </c>
      <c r="E110" s="26" t="inlineStr">
        <is>
          <t>'Owes $X' (outstandingCents&gt;0) or 'Paid in full', plus 'collected of contracted' subtext</t>
        </is>
      </c>
      <c r="F110" s="26" t="inlineStr">
        <is>
          <t>Same function as 0723 — mentee-renewal-panel.tsx:425-447</t>
        </is>
      </c>
      <c r="G110" s="26" t="inlineStr">
        <is>
          <t>All-time</t>
        </is>
      </c>
      <c r="H110" s="27" t="inlineStr">
        <is>
          <t>LIVE</t>
        </is>
      </c>
      <c r="I110" s="28" t="inlineStr">
        <is>
          <t>FULF-0724</t>
        </is>
      </c>
    </row>
    <row r="111" ht="30" customHeight="1">
      <c r="A111" s="29" t="inlineStr">
        <is>
          <t>per-installment status (Paid/Due today/Due soon/Scheduled/Overdue)</t>
        </is>
      </c>
      <c r="B111" s="37" t="n"/>
      <c r="C111" s="31" t="inlineStr">
        <is>
          <t>text (enum)</t>
        </is>
      </c>
      <c r="D111" s="31" t="inlineStr">
        <is>
          <t>DERIVED</t>
        </is>
      </c>
      <c r="E111" s="32" t="inlineStr">
        <is>
          <t>Read-time classification layering 'due_today'/'due_soon' (&lt;=3 days) on effectiveScheduleStatus()'s paid/overdue aging</t>
        </is>
      </c>
      <c r="F111" s="32" t="inlineStr">
        <is>
          <t>src/lib/mentee-payments.ts:77-104 installmentUrgency() over payment_schedule_items — mentee-renewal-panel.tsx:454-493</t>
        </is>
      </c>
      <c r="G111" s="32" t="inlineStr">
        <is>
          <t>Live (relative to today)</t>
        </is>
      </c>
      <c r="H111" s="27" t="inlineStr">
        <is>
          <t>LIVE</t>
        </is>
      </c>
      <c r="I111" s="33" t="inlineStr">
        <is>
          <t>FULF-0725</t>
        </is>
      </c>
    </row>
    <row r="112" ht="6" customHeight="1"/>
  </sheetData>
  <autoFilter ref="A4:I111"/>
  <mergeCells count="14">
    <mergeCell ref="A82:I82"/>
    <mergeCell ref="A43:I43"/>
    <mergeCell ref="A68:I68"/>
    <mergeCell ref="A11:I11"/>
    <mergeCell ref="A51:I51"/>
    <mergeCell ref="A5:I5"/>
    <mergeCell ref="A37:I37"/>
    <mergeCell ref="A103:I103"/>
    <mergeCell ref="A89:I89"/>
    <mergeCell ref="A56:I56"/>
    <mergeCell ref="A97:I97"/>
    <mergeCell ref="A34:I34"/>
    <mergeCell ref="A62:I62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Fulfillment &gt; VSL Analytics</t>
        </is>
      </c>
    </row>
    <row r="2">
      <c r="A2" s="21" t="inlineStr">
        <is>
          <t>12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PER-TAB (MAIN/WEBINAR/POST-BOOKING/TESTIMONIAL)</t>
        </is>
      </c>
    </row>
    <row r="6" ht="30" customHeight="1">
      <c r="A6" s="23" t="inlineStr">
        <is>
          <t>Total plays</t>
        </is>
      </c>
      <c r="B6" s="37" t="n"/>
      <c r="C6" s="25" t="inlineStr">
        <is>
          <t>count</t>
        </is>
      </c>
      <c r="D6" s="25" t="inlineStr">
        <is>
          <t>RAW</t>
        </is>
      </c>
      <c r="E6" s="26" t="inlineStr">
        <is>
          <t>Latest snapshot's column value</t>
        </is>
      </c>
      <c r="F6" s="26" t="inlineStr">
        <is>
          <t>public.vsl_metric_snapshots.total_plays — src/routes/_authenticated.vsl.tsx:726-732, migration 20260704064935...sql:37+</t>
        </is>
      </c>
      <c r="G6" s="26" t="inlineStr">
        <is>
          <t>Latest captured_at snapshot (sparkline shows history)</t>
        </is>
      </c>
      <c r="H6" s="38" t="inlineStr">
        <is>
          <t>PARTIALLY CONNECTED</t>
        </is>
      </c>
      <c r="I6" s="28" t="inlineStr">
        <is>
          <t>FULF-0726</t>
        </is>
      </c>
    </row>
    <row r="7" ht="30" customHeight="1">
      <c r="A7" s="29" t="inlineStr">
        <is>
          <t>Unique viewers</t>
        </is>
      </c>
      <c r="B7" s="37" t="n"/>
      <c r="C7" s="31" t="inlineStr">
        <is>
          <t>count</t>
        </is>
      </c>
      <c r="D7" s="31" t="inlineStr">
        <is>
          <t>RAW</t>
        </is>
      </c>
      <c r="E7" s="32" t="inlineStr">
        <is>
          <t>Latest snapshot value</t>
        </is>
      </c>
      <c r="F7" s="32" t="inlineStr">
        <is>
          <t>Same as 0726 — vsl_metric_snapshots.unique_viewers</t>
        </is>
      </c>
      <c r="G7" s="32" t="inlineStr">
        <is>
          <t>Latest snapshot</t>
        </is>
      </c>
      <c r="H7" s="38" t="inlineStr">
        <is>
          <t>PARTIALLY CONNECTED</t>
        </is>
      </c>
      <c r="I7" s="33" t="inlineStr">
        <is>
          <t>FULF-0727</t>
        </is>
      </c>
    </row>
    <row r="8" ht="30" customHeight="1">
      <c r="A8" s="23" t="inlineStr">
        <is>
          <t>Play rate</t>
        </is>
      </c>
      <c r="B8" s="39" t="n"/>
      <c r="C8" s="25" t="inlineStr">
        <is>
          <t>%</t>
        </is>
      </c>
      <c r="D8" s="25" t="inlineStr">
        <is>
          <t>RAW</t>
        </is>
      </c>
      <c r="E8" s="26" t="inlineStr">
        <is>
          <t>Latest snapshot value (stored, not computed client-side despite type=DERIVED given)</t>
        </is>
      </c>
      <c r="F8" s="26" t="inlineStr">
        <is>
          <t>Same as 0726 — vsl_metric_snapshots.play_rate</t>
        </is>
      </c>
      <c r="G8" s="26" t="inlineStr">
        <is>
          <t>Latest snapshot</t>
        </is>
      </c>
      <c r="H8" s="38" t="inlineStr">
        <is>
          <t>PARTIALLY CONNECTED</t>
        </is>
      </c>
      <c r="I8" s="28" t="inlineStr">
        <is>
          <t>FULF-0728</t>
        </is>
      </c>
    </row>
    <row r="9" ht="30" customHeight="1">
      <c r="A9" s="29" t="inlineStr">
        <is>
          <t>Avg % watched</t>
        </is>
      </c>
      <c r="B9" s="39" t="n"/>
      <c r="C9" s="31" t="inlineStr">
        <is>
          <t>%</t>
        </is>
      </c>
      <c r="D9" s="31" t="inlineStr">
        <is>
          <t>RAW</t>
        </is>
      </c>
      <c r="E9" s="32" t="inlineStr">
        <is>
          <t>Latest snapshot value</t>
        </is>
      </c>
      <c r="F9" s="32" t="inlineStr">
        <is>
          <t>Same as 0726 — vsl_metric_snapshots.avg_percent_watched</t>
        </is>
      </c>
      <c r="G9" s="32" t="inlineStr">
        <is>
          <t>Latest snapshot</t>
        </is>
      </c>
      <c r="H9" s="38" t="inlineStr">
        <is>
          <t>PARTIALLY CONNECTED</t>
        </is>
      </c>
      <c r="I9" s="33" t="inlineStr">
        <is>
          <t>FULF-0729</t>
        </is>
      </c>
    </row>
    <row r="10" ht="30" customHeight="1">
      <c r="A10" s="23" t="inlineStr">
        <is>
          <t>Page loads</t>
        </is>
      </c>
      <c r="B10" s="37" t="n"/>
      <c r="C10" s="25" t="inlineStr">
        <is>
          <t>count</t>
        </is>
      </c>
      <c r="D10" s="25" t="inlineStr">
        <is>
          <t>RAW</t>
        </is>
      </c>
      <c r="E10" s="26" t="inlineStr">
        <is>
          <t>Latest snapshot value</t>
        </is>
      </c>
      <c r="F10" s="26" t="inlineStr">
        <is>
          <t>Same as 0726 — vsl_metric_snapshots.page_loads</t>
        </is>
      </c>
      <c r="G10" s="26" t="inlineStr">
        <is>
          <t>Latest snapshot</t>
        </is>
      </c>
      <c r="H10" s="38" t="inlineStr">
        <is>
          <t>PARTIALLY CONNECTED</t>
        </is>
      </c>
      <c r="I10" s="28" t="inlineStr">
        <is>
          <t>FULF-0730</t>
        </is>
      </c>
    </row>
    <row r="11" ht="6" customHeight="1"/>
    <row r="12" ht="20" customHeight="1">
      <c r="A12" s="22" t="inlineStr">
        <is>
          <t>AI INSIGHTS</t>
        </is>
      </c>
    </row>
    <row r="13" ht="30" customHeight="1">
      <c r="A13" s="29" t="inlineStr">
        <is>
          <t>Largest leak</t>
        </is>
      </c>
      <c r="B13" s="37" t="n"/>
      <c r="C13" s="31" t="inlineStr">
        <is>
          <t>text + confidence 0-1</t>
        </is>
      </c>
      <c r="D13" s="31" t="inlineStr">
        <is>
          <t>DERIVED (AI)</t>
        </is>
      </c>
      <c r="E13" s="32" t="inlineStr">
        <is>
          <t>AI identifies the biggest retention-milestone drop with a confidence score; null if data too sparse (per-prompt instruction vsl.functions.ts:400)</t>
        </is>
      </c>
      <c r="F13" s="32" t="inlineStr">
        <is>
          <t>src/lib/vsl.functions.ts:329-428 analyzeVsl() — Lovable AI Gateway (gemini-2.5-flash) over the last 20 vsl_metric_snapshots + transcript_json/script</t>
        </is>
      </c>
      <c r="G13" s="32" t="inlineStr">
        <is>
          <t>Last 20 snapshots (all-time within that cap)</t>
        </is>
      </c>
      <c r="H13" s="27" t="inlineStr">
        <is>
          <t>LIVE</t>
        </is>
      </c>
      <c r="I13" s="33" t="inlineStr">
        <is>
          <t>FULF-0731</t>
        </is>
      </c>
    </row>
    <row r="14" ht="30" customHeight="1">
      <c r="A14" s="23" t="inlineStr">
        <is>
          <t>Bottlenecks</t>
        </is>
      </c>
      <c r="B14" s="37" t="n"/>
      <c r="C14" s="25" t="inlineStr">
        <is>
          <t>text list + confidence</t>
        </is>
      </c>
      <c r="D14" s="25" t="inlineStr">
        <is>
          <t>DERIVED (AI)</t>
        </is>
      </c>
      <c r="E14" s="26" t="inlineStr">
        <is>
          <t>Same AI call — 'bottlenecks' array in response</t>
        </is>
      </c>
      <c r="F14" s="26" t="inlineStr">
        <is>
          <t>Same call as 0731</t>
        </is>
      </c>
      <c r="G14" s="26" t="inlineStr">
        <is>
          <t>Same as 0731</t>
        </is>
      </c>
      <c r="H14" s="27" t="inlineStr">
        <is>
          <t>LIVE</t>
        </is>
      </c>
      <c r="I14" s="28" t="inlineStr">
        <is>
          <t>FULF-0732</t>
        </is>
      </c>
    </row>
    <row r="15" ht="30" customHeight="1">
      <c r="A15" s="29" t="inlineStr">
        <is>
          <t>Double down</t>
        </is>
      </c>
      <c r="B15" s="37" t="n"/>
      <c r="C15" s="31" t="inlineStr">
        <is>
          <t>text list + confidence</t>
        </is>
      </c>
      <c r="D15" s="31" t="inlineStr">
        <is>
          <t>DERIVED (AI)</t>
        </is>
      </c>
      <c r="E15" s="32" t="inlineStr">
        <is>
          <t>Same AI call — 'double_down' array</t>
        </is>
      </c>
      <c r="F15" s="32" t="inlineStr">
        <is>
          <t>Same call as 0731</t>
        </is>
      </c>
      <c r="G15" s="32" t="inlineStr">
        <is>
          <t>Same as 0731</t>
        </is>
      </c>
      <c r="H15" s="27" t="inlineStr">
        <is>
          <t>LIVE</t>
        </is>
      </c>
      <c r="I15" s="33" t="inlineStr">
        <is>
          <t>FULF-0733</t>
        </is>
      </c>
    </row>
    <row r="16" ht="30" customHeight="1">
      <c r="A16" s="23" t="inlineStr">
        <is>
          <t>Drop-off moments</t>
        </is>
      </c>
      <c r="B16" s="37" t="n"/>
      <c r="C16" s="25" t="inlineStr">
        <is>
          <t>text list + confidence</t>
        </is>
      </c>
      <c r="D16" s="25" t="inlineStr">
        <is>
          <t>DERIVED (AI)</t>
        </is>
      </c>
      <c r="E16" s="26" t="inlineStr">
        <is>
          <t>Same AI call — 'drop_off_moments' array (timestamp + why + confidence)</t>
        </is>
      </c>
      <c r="F16" s="26" t="inlineStr">
        <is>
          <t>Same call as 0731</t>
        </is>
      </c>
      <c r="G16" s="26" t="inlineStr">
        <is>
          <t>Same as 0731</t>
        </is>
      </c>
      <c r="H16" s="27" t="inlineStr">
        <is>
          <t>LIVE</t>
        </is>
      </c>
      <c r="I16" s="28" t="inlineStr">
        <is>
          <t>FULF-0734</t>
        </is>
      </c>
    </row>
    <row r="17" ht="6" customHeight="1"/>
    <row r="18" ht="20" customHeight="1">
      <c r="A18" s="22" t="inlineStr">
        <is>
          <t>FULL FUNNEL</t>
        </is>
      </c>
    </row>
    <row r="19" ht="30" customHeight="1">
      <c r="A19" s="29" t="inlineStr">
        <is>
          <t>Landing → play → milestones → completion → CTA → booking → show → close → cash</t>
        </is>
      </c>
      <c r="B19" s="34" t="n"/>
      <c r="C19" s="31" t="inlineStr">
        <is>
          <t>$ (cash stage) / count (other stages)</t>
        </is>
      </c>
      <c r="D19" s="31" t="inlineStr">
        <is>
          <t>DERIVED</t>
        </is>
      </c>
      <c r="E19" s="32" t="inlineStr">
        <is>
          <t>Mixed-window funnel: first 4-5 stages are a single latest reading (not range-scoped); last 4 stages ARE range-scoped by source_vsl_id</t>
        </is>
      </c>
      <c r="F19" s="32" t="inlineStr">
        <is>
          <t>src/lib/vsl.functions.ts:431-... getVslFunnelData() — Wistia-native stages from vsl_metric_snapshots (single latest snapshot); application/show/close/cash stages from leads/calls tagged via leads.source_vsl_id within the selected date range — vsl.tsx:151-268</t>
        </is>
      </c>
      <c r="G19" s="32" t="inlineStr">
        <is>
          <t>Wistia stages: latest snapshot only (not range-scoped); CRM stages: selected date range — BOTH facts disclosed in the subtitle (vsl.tsx:260)</t>
        </is>
      </c>
      <c r="H19" s="38" t="inlineStr">
        <is>
          <t>PARTIALLY CONNECTED</t>
        </is>
      </c>
      <c r="I19" s="33" t="inlineStr">
        <is>
          <t>FULF-0735</t>
        </is>
      </c>
    </row>
    <row r="20" ht="6" customHeight="1"/>
    <row r="21" ht="20" customHeight="1">
      <c r="A21" s="22" t="inlineStr">
        <is>
          <t>FAQ VIDEOS TAB</t>
        </is>
      </c>
    </row>
    <row r="22" ht="30" customHeight="1">
      <c r="A22" s="23" t="inlineStr">
        <is>
          <t>Dominant Limiting Belief</t>
        </is>
      </c>
      <c r="B22" s="37" t="n"/>
      <c r="C22" s="25" t="inlineStr">
        <is>
          <t>text + count (clicks)</t>
        </is>
      </c>
      <c r="D22" s="25" t="inlineStr">
        <is>
          <t>DERIVED</t>
        </is>
      </c>
      <c r="E22" s="26" t="inlineStr">
        <is>
          <t>Top faq_videos row by clicks (max), title displayed as the "dominant limiting belief"</t>
        </is>
      </c>
      <c r="F22" s="26" t="inlineStr">
        <is>
          <t>public.faq_videos — vsl.tsx:114-126,1277-1358, migration 20260809235545...sql:2</t>
        </is>
      </c>
      <c r="G22" s="26" t="inlineStr">
        <is>
          <t>All-time</t>
        </is>
      </c>
      <c r="H22" s="38" t="inlineStr">
        <is>
          <t>PARTIALLY CONNECTED</t>
        </is>
      </c>
      <c r="I22" s="28" t="inlineStr">
        <is>
          <t>FULF-0736</t>
        </is>
      </c>
    </row>
    <row r="23" ht="30" customHeight="1">
      <c r="A23" s="29" t="inlineStr">
        <is>
          <t>per-video clicks/plays/% watched</t>
        </is>
      </c>
      <c r="B23" s="37" t="n"/>
      <c r="C23" s="31" t="inlineStr">
        <is>
          <t>count / count / %</t>
        </is>
      </c>
      <c r="D23" s="31" t="inlineStr">
        <is>
          <t>RAW</t>
        </is>
      </c>
      <c r="E23" s="32" t="inlineStr">
        <is>
          <t>Manually-entered integer fields (edit dialog, vsl.tsx:1643-1660)</t>
        </is>
      </c>
      <c r="F23" s="32" t="inlineStr">
        <is>
          <t>public.faq_videos.clicks/plays/avg_watch_pct — vsl.tsx:114-126</t>
        </is>
      </c>
      <c r="G23" s="32" t="inlineStr">
        <is>
          <t>Per-video (no timestamp/history — single current value)</t>
        </is>
      </c>
      <c r="H23" s="38" t="inlineStr">
        <is>
          <t>PARTIALLY CONNECTED</t>
        </is>
      </c>
      <c r="I23" s="33" t="inlineStr">
        <is>
          <t>FULF-0737</t>
        </is>
      </c>
    </row>
    <row r="24" ht="6" customHeight="1"/>
  </sheetData>
  <autoFilter ref="A4:I23"/>
  <mergeCells count="4">
    <mergeCell ref="A5:I5"/>
    <mergeCell ref="A18:I18"/>
    <mergeCell ref="A21:I21"/>
    <mergeCell ref="A12:I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62" customWidth="1" min="5" max="5"/>
    <col width="58" customWidth="1" min="6" max="6"/>
    <col width="24" customWidth="1" min="7" max="7"/>
    <col width="20" customWidth="1" min="8" max="8"/>
    <col width="11" customWidth="1" min="9" max="9"/>
  </cols>
  <sheetData>
    <row r="1" ht="24" customHeight="1">
      <c r="A1" s="20" t="inlineStr">
        <is>
          <t>Ops &gt; Webinar Analytics</t>
        </is>
      </c>
    </row>
    <row r="2">
      <c r="A2" s="21" t="inlineStr">
        <is>
          <t>60 metrics</t>
        </is>
      </c>
    </row>
    <row r="4" ht="22" customHeight="1">
      <c r="A4" s="12" t="inlineStr">
        <is>
          <t>Metric</t>
        </is>
      </c>
      <c r="B4" s="13" t="inlineStr">
        <is>
          <t>Value</t>
        </is>
      </c>
      <c r="C4" s="12" t="inlineStr">
        <is>
          <t>Unit</t>
        </is>
      </c>
      <c r="D4" s="12" t="inlineStr">
        <is>
          <t>Type</t>
        </is>
      </c>
      <c r="E4" s="12" t="inlineStr">
        <is>
          <t>Formula / definition</t>
        </is>
      </c>
      <c r="F4" s="12" t="inlineStr">
        <is>
          <t>Where it comes from</t>
        </is>
      </c>
      <c r="G4" s="12" t="inlineStr">
        <is>
          <t>Time window</t>
        </is>
      </c>
      <c r="H4" s="12" t="inlineStr">
        <is>
          <t>Status</t>
        </is>
      </c>
      <c r="I4" s="12" t="inlineStr">
        <is>
          <t>ID</t>
        </is>
      </c>
    </row>
    <row r="5" ht="20" customHeight="1">
      <c r="A5" s="22" t="inlineStr">
        <is>
          <t>EXECUTIVE KPIS</t>
        </is>
      </c>
    </row>
    <row r="6" ht="30" customHeight="1">
      <c r="A6" s="23" t="inlineStr">
        <is>
          <t>Total Leads</t>
        </is>
      </c>
      <c r="B6" s="37" t="n"/>
      <c r="C6" s="25" t="inlineStr">
        <is>
          <t>count</t>
        </is>
      </c>
      <c r="D6" s="25" t="inlineStr">
        <is>
          <t>AGGREGATED</t>
        </is>
      </c>
      <c r="E6" s="26" t="inlineStr">
        <is>
          <t>paidLeads + organicLeads summed across all webinar_metrics rows in scope/range</t>
        </is>
      </c>
      <c r="F6" s="26" t="inlineStr">
        <is>
          <t>public.webinar_metrics (paid_leads+organic_leads) — src/lib/webinar-analytics.ts:33-35, src/routes/_authenticated.webinar-analytics.tsx:426-431</t>
        </is>
      </c>
      <c r="G6" s="26" t="inlineStr">
        <is>
          <t>Selected date range (captured_at)</t>
        </is>
      </c>
      <c r="H6" s="40" t="inlineStr">
        <is>
          <t>NEEDS INTEGRATION</t>
        </is>
      </c>
      <c r="I6" s="28" t="inlineStr">
        <is>
          <t>OPSW-0738</t>
        </is>
      </c>
    </row>
    <row r="7" ht="30" customHeight="1">
      <c r="A7" s="29" t="inlineStr">
        <is>
          <t>Show-up Rate</t>
        </is>
      </c>
      <c r="B7" s="39" t="n"/>
      <c r="C7" s="31" t="inlineStr">
        <is>
          <t>%</t>
        </is>
      </c>
      <c r="D7" s="31" t="inlineStr">
        <is>
          <t>DERIVED</t>
        </is>
      </c>
      <c r="E7" s="32" t="inlineStr">
        <is>
          <t>divide(liveAttendees, registered)</t>
        </is>
      </c>
      <c r="F7" s="32" t="inlineStr">
        <is>
          <t>webinar-analytics.ts:38-39,70 — liveAttendees/registered, preferring real webinar_events (event_type in live/joined/attended ÷ registered) over the webinar_metrics aggregate columns when events exist</t>
        </is>
      </c>
      <c r="G7" s="32" t="inlineStr">
        <is>
          <t>Selected date range</t>
        </is>
      </c>
      <c r="H7" s="40" t="inlineStr">
        <is>
          <t>NEEDS INTEGRATION</t>
        </is>
      </c>
      <c r="I7" s="33" t="inlineStr">
        <is>
          <t>OPSW-0739</t>
        </is>
      </c>
    </row>
    <row r="8" ht="30" customHeight="1">
      <c r="A8" s="23" t="inlineStr">
        <is>
          <t>Live at Pitch</t>
        </is>
      </c>
      <c r="B8" s="37" t="n"/>
      <c r="C8" s="25" t="inlineStr">
        <is>
          <t>count</t>
        </is>
      </c>
      <c r="D8" s="25" t="inlineStr">
        <is>
          <t>AGGREGATED</t>
        </is>
      </c>
      <c r="E8" s="26" t="inlineStr">
        <is>
          <t>count(pitch events) or sum(pitch_attendees)</t>
        </is>
      </c>
      <c r="F8" s="26" t="inlineStr">
        <is>
          <t>webinar_events event_type='pitch' (preferred) or webinar_metrics.pitch_attendees — webinar-analytics.ts:40-41,72</t>
        </is>
      </c>
      <c r="G8" s="26" t="inlineStr">
        <is>
          <t>Selected date range</t>
        </is>
      </c>
      <c r="H8" s="40" t="inlineStr">
        <is>
          <t>NEEDS INTEGRATION</t>
        </is>
      </c>
      <c r="I8" s="28" t="inlineStr">
        <is>
          <t>OPSW-0740</t>
        </is>
      </c>
    </row>
    <row r="9" ht="30" customHeight="1">
      <c r="A9" s="29" t="inlineStr">
        <is>
          <t>Total Revenue</t>
        </is>
      </c>
      <c r="B9" s="34" t="n"/>
      <c r="C9" s="31" t="inlineStr">
        <is>
          <t>$</t>
        </is>
      </c>
      <c r="D9" s="31" t="inlineStr">
        <is>
          <t>AGGREGATED</t>
        </is>
      </c>
      <c r="E9" s="32" t="inlineStr">
        <is>
          <t>Sum across the 3 revenue columns for rows in range</t>
        </is>
      </c>
      <c r="F9" s="32" t="inlineStr">
        <is>
          <t>webinar_metrics.core_revenue_cents+order_bump_revenue_cents+upsell_revenue_cents — webinar-analytics.ts:42-46,99-101</t>
        </is>
      </c>
      <c r="G9" s="32" t="inlineStr">
        <is>
          <t>Selected date range</t>
        </is>
      </c>
      <c r="H9" s="40" t="inlineStr">
        <is>
          <t>NEEDS INTEGRATION</t>
        </is>
      </c>
      <c r="I9" s="33" t="inlineStr">
        <is>
          <t>OPSW-0741</t>
        </is>
      </c>
    </row>
    <row r="10" ht="30" customHeight="1">
      <c r="A10" s="23" t="inlineStr">
        <is>
          <t>Cash Collected</t>
        </is>
      </c>
      <c r="B10" s="34" t="n"/>
      <c r="C10" s="25" t="inlineStr">
        <is>
          <t>$</t>
        </is>
      </c>
      <c r="D10" s="25" t="inlineStr">
        <is>
          <t>PLACEHOLDER</t>
        </is>
      </c>
      <c r="E10" s="26" t="inlineStr">
        <is>
          <t>N/A — no column on webinar_metrics or the event pipeline distinguishes cash collected from contracted/closed revenue (unlike calls.cash_collected_cents used elsewhere in this app)</t>
        </is>
      </c>
      <c r="F10" s="26" t="inlineStr">
        <is>
          <t>None — explicitly disclosed 'Not tracked', webinar-analytics.tsx:470-485</t>
        </is>
      </c>
      <c r="G10" s="26" t="inlineStr">
        <is>
          <t>N/A</t>
        </is>
      </c>
      <c r="H10" s="36" t="inlineStr">
        <is>
          <t>NOT AVAILABLE</t>
        </is>
      </c>
      <c r="I10" s="28" t="inlineStr">
        <is>
          <t>OPSW-0742</t>
        </is>
      </c>
    </row>
    <row r="11" ht="30" customHeight="1">
      <c r="A11" s="29" t="inlineStr">
        <is>
          <t>Ad Cash Collected</t>
        </is>
      </c>
      <c r="B11" s="34" t="n"/>
      <c r="C11" s="31" t="inlineStr">
        <is>
          <t>$</t>
        </is>
      </c>
      <c r="D11" s="31" t="inlineStr">
        <is>
          <t>PLACEHOLDER</t>
        </is>
      </c>
      <c r="E11" s="32" t="inlineStr">
        <is>
          <t>N/A — even narrower gap than 0742: no per-lead paid-vs-organic split of dollars exists, only lead COUNTS are split</t>
        </is>
      </c>
      <c r="F11" s="32" t="inlineStr">
        <is>
          <t>Same disclosure as 0742 — webinar-analytics.tsx:486-500</t>
        </is>
      </c>
      <c r="G11" s="32" t="inlineStr">
        <is>
          <t>N/A</t>
        </is>
      </c>
      <c r="H11" s="36" t="inlineStr">
        <is>
          <t>NOT AVAILABLE</t>
        </is>
      </c>
      <c r="I11" s="33" t="inlineStr">
        <is>
          <t>OPSW-0743</t>
        </is>
      </c>
    </row>
    <row r="12" ht="30" customHeight="1">
      <c r="A12" s="23" t="inlineStr">
        <is>
          <t>Ad Total Revenue</t>
        </is>
      </c>
      <c r="B12" s="34" t="n"/>
      <c r="C12" s="25" t="inlineStr">
        <is>
          <t>$</t>
        </is>
      </c>
      <c r="D12" s="25" t="inlineStr">
        <is>
          <t>PLACEHOLDER</t>
        </is>
      </c>
      <c r="E12" s="26" t="inlineStr">
        <is>
          <t>N/A — same per-lead paid/organic revenue split gap</t>
        </is>
      </c>
      <c r="F12" s="26" t="inlineStr">
        <is>
          <t>Same disclosure as 0742-0743 — webinar-analytics.tsx:501-509</t>
        </is>
      </c>
      <c r="G12" s="26" t="inlineStr">
        <is>
          <t>N/A</t>
        </is>
      </c>
      <c r="H12" s="36" t="inlineStr">
        <is>
          <t>NOT AVAILABLE</t>
        </is>
      </c>
      <c r="I12" s="28" t="inlineStr">
        <is>
          <t>OPSW-0744</t>
        </is>
      </c>
    </row>
    <row r="13" ht="30" customHeight="1">
      <c r="A13" s="29" t="inlineStr">
        <is>
          <t>Ad Spend</t>
        </is>
      </c>
      <c r="B13" s="34" t="n"/>
      <c r="C13" s="31" t="inlineStr">
        <is>
          <t>$</t>
        </is>
      </c>
      <c r="D13" s="31" t="inlineStr">
        <is>
          <t>RAW</t>
        </is>
      </c>
      <c r="E13" s="32" t="inlineStr">
        <is>
          <t>sum(spend_amount_cents) for rows in range/scope</t>
        </is>
      </c>
      <c r="F13" s="32" t="inlineStr">
        <is>
          <t>public.acquisition_spend.spend_amount_cents — webinar-analytics.tsx:237-276,510-519, src/lib/acquisition.ts calculateAcquisitionMetrics()</t>
        </is>
      </c>
      <c r="G13" s="32" t="inlineStr">
        <is>
          <t>Selected date range (spend_date)</t>
        </is>
      </c>
      <c r="H13" s="40" t="inlineStr">
        <is>
          <t>NEEDS INTEGRATION</t>
        </is>
      </c>
      <c r="I13" s="33" t="inlineStr">
        <is>
          <t>OPSW-0745</t>
        </is>
      </c>
    </row>
    <row r="14" ht="30" customHeight="1">
      <c r="A14" s="23" t="inlineStr">
        <is>
          <t>ROAS</t>
        </is>
      </c>
      <c r="B14" s="37" t="n"/>
      <c r="C14" s="25" t="inlineStr">
        <is>
          <t>x (multiplier, given unit=% is imprecise)</t>
        </is>
      </c>
      <c r="D14" s="25" t="inlineStr">
        <is>
          <t>DERIVED</t>
        </is>
      </c>
      <c r="E14" s="26" t="inlineStr">
        <is>
          <t>revenueCents / spendCents</t>
        </is>
      </c>
      <c r="F14" s="26" t="inlineStr">
        <is>
          <t>webinar-analytics.ts:102 — spendCents&gt;0 &amp;&amp; revenueCents&gt;0 ? revenueCents/spendCents : null, webinar-analytics.tsx:339-348,520-536</t>
        </is>
      </c>
      <c r="G14" s="26" t="inlineStr">
        <is>
          <t>Selected date range</t>
        </is>
      </c>
      <c r="H14" s="40" t="inlineStr">
        <is>
          <t>NEEDS INTEGRATION</t>
        </is>
      </c>
      <c r="I14" s="28" t="inlineStr">
        <is>
          <t>OPSW-0746</t>
        </is>
      </c>
    </row>
    <row r="15" ht="6" customHeight="1"/>
    <row r="16" ht="20" customHeight="1">
      <c r="A16" s="22" t="inlineStr">
        <is>
          <t>ACQUISITION EFFICIENCY</t>
        </is>
      </c>
    </row>
    <row r="17" ht="30" customHeight="1">
      <c r="A17" s="29" t="inlineStr">
        <is>
          <t>Lead Capture Investment</t>
        </is>
      </c>
      <c r="B17" s="34" t="n"/>
      <c r="C17" s="31" t="inlineStr">
        <is>
          <t>$</t>
        </is>
      </c>
      <c r="D17" s="31" t="inlineStr">
        <is>
          <t>RAW</t>
        </is>
      </c>
      <c r="E17" s="32" t="inlineStr">
        <is>
          <t>sum(spend_amount_cents)</t>
        </is>
      </c>
      <c r="F17" s="32" t="inlineStr">
        <is>
          <t>Same acquisition_spend source as 0745 — webinar-analytics.tsx:583-592</t>
        </is>
      </c>
      <c r="G17" s="32" t="inlineStr">
        <is>
          <t>Selected date range</t>
        </is>
      </c>
      <c r="H17" s="40" t="inlineStr">
        <is>
          <t>NEEDS INTEGRATION</t>
        </is>
      </c>
      <c r="I17" s="33" t="inlineStr">
        <is>
          <t>OPSW-0747</t>
        </is>
      </c>
    </row>
    <row r="18" ht="30" customHeight="1">
      <c r="A18" s="23" t="inlineStr">
        <is>
          <t>Impressions</t>
        </is>
      </c>
      <c r="B18" s="37" t="n"/>
      <c r="C18" s="25" t="inlineStr">
        <is>
          <t>count</t>
        </is>
      </c>
      <c r="D18" s="25" t="inlineStr">
        <is>
          <t>RAW</t>
        </is>
      </c>
      <c r="E18" s="26" t="inlineStr">
        <is>
          <t>sum(impressions)</t>
        </is>
      </c>
      <c r="F18" s="26" t="inlineStr">
        <is>
          <t>acquisition_spend.impressions — webinar-analytics.tsx:593-599</t>
        </is>
      </c>
      <c r="G18" s="26" t="inlineStr">
        <is>
          <t>Selected date range</t>
        </is>
      </c>
      <c r="H18" s="40" t="inlineStr">
        <is>
          <t>NEEDS INTEGRATION</t>
        </is>
      </c>
      <c r="I18" s="28" t="inlineStr">
        <is>
          <t>OPSW-0748</t>
        </is>
      </c>
    </row>
    <row r="19" ht="30" customHeight="1">
      <c r="A19" s="29" t="inlineStr">
        <is>
          <t>Clicks</t>
        </is>
      </c>
      <c r="B19" s="37" t="n"/>
      <c r="C19" s="31" t="inlineStr">
        <is>
          <t>count</t>
        </is>
      </c>
      <c r="D19" s="31" t="inlineStr">
        <is>
          <t>RAW</t>
        </is>
      </c>
      <c r="E19" s="32" t="inlineStr">
        <is>
          <t>sum(clicks)</t>
        </is>
      </c>
      <c r="F19" s="32" t="inlineStr">
        <is>
          <t>acquisition_spend.clicks — webinar-analytics.tsx:600-606</t>
        </is>
      </c>
      <c r="G19" s="32" t="inlineStr">
        <is>
          <t>Selected date range</t>
        </is>
      </c>
      <c r="H19" s="40" t="inlineStr">
        <is>
          <t>NEEDS INTEGRATION</t>
        </is>
      </c>
      <c r="I19" s="33" t="inlineStr">
        <is>
          <t>OPSW-0749</t>
        </is>
      </c>
    </row>
    <row r="20" ht="30" customHeight="1">
      <c r="A20" s="23" t="inlineStr">
        <is>
          <t>CTR</t>
        </is>
      </c>
      <c r="B20" s="39" t="n"/>
      <c r="C20" s="25" t="inlineStr">
        <is>
          <t>% (given unit=count is wrong)</t>
        </is>
      </c>
      <c r="D20" s="25" t="inlineStr">
        <is>
          <t>DERIVED</t>
        </is>
      </c>
      <c r="E20" s="26" t="inlineStr">
        <is>
          <t>clicks / paidVisits</t>
        </is>
      </c>
      <c r="F20" s="26" t="inlineStr">
        <is>
          <t>src/lib/acquisition.ts calculateAcquisitionMetrics() — webinar-analytics.tsx:607-617</t>
        </is>
      </c>
      <c r="G20" s="26" t="inlineStr">
        <is>
          <t>Selected date range</t>
        </is>
      </c>
      <c r="H20" s="40" t="inlineStr">
        <is>
          <t>NEEDS INTEGRATION</t>
        </is>
      </c>
      <c r="I20" s="28" t="inlineStr">
        <is>
          <t>OPSW-0750</t>
        </is>
      </c>
    </row>
    <row r="21" ht="30" customHeight="1">
      <c r="A21" s="29" t="inlineStr">
        <is>
          <t>CPC</t>
        </is>
      </c>
      <c r="B21" s="34" t="n"/>
      <c r="C21" s="31" t="inlineStr">
        <is>
          <t>$ (given unit=count is wrong)</t>
        </is>
      </c>
      <c r="D21" s="31" t="inlineStr">
        <is>
          <t>DERIVED</t>
        </is>
      </c>
      <c r="E21" s="32" t="inlineStr">
        <is>
          <t>spendCents / clicks</t>
        </is>
      </c>
      <c r="F21" s="32" t="inlineStr">
        <is>
          <t>Same as 0750</t>
        </is>
      </c>
      <c r="G21" s="32" t="inlineStr">
        <is>
          <t>Selected date range</t>
        </is>
      </c>
      <c r="H21" s="40" t="inlineStr">
        <is>
          <t>NEEDS INTEGRATION</t>
        </is>
      </c>
      <c r="I21" s="33" t="inlineStr">
        <is>
          <t>OPSW-0751</t>
        </is>
      </c>
    </row>
    <row r="22" ht="30" customHeight="1">
      <c r="A22" s="23" t="inlineStr">
        <is>
          <t>CPL</t>
        </is>
      </c>
      <c r="B22" s="34" t="n"/>
      <c r="C22" s="25" t="inlineStr">
        <is>
          <t>$ (given unit=count is wrong)</t>
        </is>
      </c>
      <c r="D22" s="25" t="inlineStr">
        <is>
          <t>DERIVED</t>
        </is>
      </c>
      <c r="E22" s="26" t="inlineStr">
        <is>
          <t>spendCents / paidLeads</t>
        </is>
      </c>
      <c r="F22" s="26" t="inlineStr">
        <is>
          <t>Same as 0750</t>
        </is>
      </c>
      <c r="G22" s="26" t="inlineStr">
        <is>
          <t>Selected date range</t>
        </is>
      </c>
      <c r="H22" s="40" t="inlineStr">
        <is>
          <t>NEEDS INTEGRATION</t>
        </is>
      </c>
      <c r="I22" s="28" t="inlineStr">
        <is>
          <t>OPSW-0752</t>
        </is>
      </c>
    </row>
    <row r="23" ht="30" customHeight="1">
      <c r="A23" s="29" t="inlineStr">
        <is>
          <t>CPA</t>
        </is>
      </c>
      <c r="B23" s="34" t="n"/>
      <c r="C23" s="31" t="inlineStr">
        <is>
          <t>$ (given unit=count is wrong)</t>
        </is>
      </c>
      <c r="D23" s="31" t="inlineStr">
        <is>
          <t>DERIVED</t>
        </is>
      </c>
      <c r="E23" s="32" t="inlineStr">
        <is>
          <t>spendCents / sales</t>
        </is>
      </c>
      <c r="F23" s="32" t="inlineStr">
        <is>
          <t>Same as 0750</t>
        </is>
      </c>
      <c r="G23" s="32" t="inlineStr">
        <is>
          <t>Selected date range</t>
        </is>
      </c>
      <c r="H23" s="40" t="inlineStr">
        <is>
          <t>NEEDS INTEGRATION</t>
        </is>
      </c>
      <c r="I23" s="33" t="inlineStr">
        <is>
          <t>OPSW-0753</t>
        </is>
      </c>
    </row>
    <row r="24" ht="30" customHeight="1">
      <c r="A24" s="23" t="inlineStr">
        <is>
          <t>ROAS</t>
        </is>
      </c>
      <c r="B24" s="37" t="n"/>
      <c r="C24" s="25" t="inlineStr">
        <is>
          <t>x</t>
        </is>
      </c>
      <c r="D24" s="25" t="inlineStr">
        <is>
          <t>DERIVED</t>
        </is>
      </c>
      <c r="E24" s="26" t="inlineStr">
        <is>
          <t>Same formula as OPSW-0746 (a second ROAS computation using acquisition-ledger totals rather than webinar_metrics totals)</t>
        </is>
      </c>
      <c r="F24" s="26" t="inlineStr">
        <is>
          <t>Same as 0750 (acquisition.roas)</t>
        </is>
      </c>
      <c r="G24" s="26" t="inlineStr">
        <is>
          <t>Selected date range</t>
        </is>
      </c>
      <c r="H24" s="40" t="inlineStr">
        <is>
          <t>NEEDS INTEGRATION</t>
        </is>
      </c>
      <c r="I24" s="28" t="inlineStr">
        <is>
          <t>OPSW-0754</t>
        </is>
      </c>
    </row>
    <row r="25" ht="6" customHeight="1"/>
    <row r="26" ht="20" customHeight="1">
      <c r="A26" s="22" t="inlineStr">
        <is>
          <t>PAID VS ORGANIC</t>
        </is>
      </c>
    </row>
    <row r="27" ht="30" customHeight="1">
      <c r="A27" s="29" t="inlineStr">
        <is>
          <t>Total Leads</t>
        </is>
      </c>
      <c r="B27" s="37" t="n"/>
      <c r="C27" s="31" t="inlineStr">
        <is>
          <t>count</t>
        </is>
      </c>
      <c r="D27" s="31" t="inlineStr">
        <is>
          <t>AGGREGATED</t>
        </is>
      </c>
      <c r="E27" s="32" t="inlineStr">
        <is>
          <t>Same as OPSW-0738's totalLeads</t>
        </is>
      </c>
      <c r="F27" s="32" t="inlineStr">
        <is>
          <t>webinar_metrics.paid_leads+organic_leads — webinar-analytics.tsx:687-691</t>
        </is>
      </c>
      <c r="G27" s="32" t="inlineStr">
        <is>
          <t>Selected date range</t>
        </is>
      </c>
      <c r="H27" s="40" t="inlineStr">
        <is>
          <t>NEEDS INTEGRATION</t>
        </is>
      </c>
      <c r="I27" s="33" t="inlineStr">
        <is>
          <t>OPSW-0755</t>
        </is>
      </c>
    </row>
    <row r="28" ht="30" customHeight="1">
      <c r="A28" s="23" t="inlineStr">
        <is>
          <t>Paid Leads</t>
        </is>
      </c>
      <c r="B28" s="37" t="n"/>
      <c r="C28" s="25" t="inlineStr">
        <is>
          <t>count</t>
        </is>
      </c>
      <c r="D28" s="25" t="inlineStr">
        <is>
          <t>RAW</t>
        </is>
      </c>
      <c r="E28" s="26" t="inlineStr">
        <is>
          <t>sum(paid_leads)</t>
        </is>
      </c>
      <c r="F28" s="26" t="inlineStr">
        <is>
          <t>webinar_metrics.paid_leads — webinar-analytics.tsx:692-699</t>
        </is>
      </c>
      <c r="G28" s="26" t="inlineStr">
        <is>
          <t>Selected date range</t>
        </is>
      </c>
      <c r="H28" s="40" t="inlineStr">
        <is>
          <t>NEEDS INTEGRATION</t>
        </is>
      </c>
      <c r="I28" s="28" t="inlineStr">
        <is>
          <t>OPSW-0756</t>
        </is>
      </c>
    </row>
    <row r="29" ht="30" customHeight="1">
      <c r="A29" s="29" t="inlineStr">
        <is>
          <t>Organic Leads</t>
        </is>
      </c>
      <c r="B29" s="37" t="n"/>
      <c r="C29" s="31" t="inlineStr">
        <is>
          <t>count</t>
        </is>
      </c>
      <c r="D29" s="31" t="inlineStr">
        <is>
          <t>RAW</t>
        </is>
      </c>
      <c r="E29" s="32" t="inlineStr">
        <is>
          <t>sum(organic_leads)</t>
        </is>
      </c>
      <c r="F29" s="32" t="inlineStr">
        <is>
          <t>webinar_metrics.organic_leads — webinar-analytics.tsx:700-707</t>
        </is>
      </c>
      <c r="G29" s="32" t="inlineStr">
        <is>
          <t>Selected date range</t>
        </is>
      </c>
      <c r="H29" s="40" t="inlineStr">
        <is>
          <t>NEEDS INTEGRATION</t>
        </is>
      </c>
      <c r="I29" s="33" t="inlineStr">
        <is>
          <t>OPSW-0757</t>
        </is>
      </c>
    </row>
    <row r="30" ht="30" customHeight="1">
      <c r="A30" s="23" t="inlineStr">
        <is>
          <t>Cost per Paid Lead</t>
        </is>
      </c>
      <c r="B30" s="34" t="n"/>
      <c r="C30" s="25" t="inlineStr">
        <is>
          <t>$</t>
        </is>
      </c>
      <c r="D30" s="25" t="inlineStr">
        <is>
          <t>DERIVED</t>
        </is>
      </c>
      <c r="E30" s="26" t="inlineStr">
        <is>
          <t>spendCents / paidLeads</t>
        </is>
      </c>
      <c r="F30" s="26" t="inlineStr">
        <is>
          <t>webinar-analytics.tsx:708-718 (summary.capture.cplCents)</t>
        </is>
      </c>
      <c r="G30" s="26" t="inlineStr">
        <is>
          <t>Selected date range</t>
        </is>
      </c>
      <c r="H30" s="40" t="inlineStr">
        <is>
          <t>NEEDS INTEGRATION</t>
        </is>
      </c>
      <c r="I30" s="28" t="inlineStr">
        <is>
          <t>OPSW-0758</t>
        </is>
      </c>
    </row>
    <row r="31" ht="6" customHeight="1"/>
    <row r="32" ht="20" customHeight="1">
      <c r="A32" s="22" t="inlineStr">
        <is>
          <t>TRAFFIC ANALYTICS</t>
        </is>
      </c>
    </row>
    <row r="33" ht="30" customHeight="1">
      <c r="A33" s="29" t="inlineStr">
        <is>
          <t>Visitors</t>
        </is>
      </c>
      <c r="B33" s="37" t="n"/>
      <c r="C33" s="31" t="inlineStr">
        <is>
          <t>count</t>
        </is>
      </c>
      <c r="D33" s="31" t="inlineStr">
        <is>
          <t>RAW</t>
        </is>
      </c>
      <c r="E33" s="32" t="inlineStr">
        <is>
          <t>sum(paid_visits)</t>
        </is>
      </c>
      <c r="F33" s="32" t="inlineStr">
        <is>
          <t>acquisition_spend.paid_visits (acquisition.paidVisits) — webinar-analytics.tsx:729,898-941</t>
        </is>
      </c>
      <c r="G33" s="32" t="inlineStr">
        <is>
          <t>Selected date range</t>
        </is>
      </c>
      <c r="H33" s="40" t="inlineStr">
        <is>
          <t>NEEDS INTEGRATION</t>
        </is>
      </c>
      <c r="I33" s="33" t="inlineStr">
        <is>
          <t>OPSW-0759</t>
        </is>
      </c>
    </row>
    <row r="34" ht="30" customHeight="1">
      <c r="A34" s="23" t="inlineStr">
        <is>
          <t>Sign up rate</t>
        </is>
      </c>
      <c r="B34" s="39" t="n"/>
      <c r="C34" s="25" t="inlineStr">
        <is>
          <t>%</t>
        </is>
      </c>
      <c r="D34" s="25" t="inlineStr">
        <is>
          <t>DERIVED</t>
        </is>
      </c>
      <c r="E34" s="26" t="inlineStr">
        <is>
          <t>registered / visitors</t>
        </is>
      </c>
      <c r="F34" s="26" t="inlineStr">
        <is>
          <t>webinar-analytics.tsx:909-912</t>
        </is>
      </c>
      <c r="G34" s="26" t="inlineStr">
        <is>
          <t>Selected date range</t>
        </is>
      </c>
      <c r="H34" s="40" t="inlineStr">
        <is>
          <t>NEEDS INTEGRATION</t>
        </is>
      </c>
      <c r="I34" s="28" t="inlineStr">
        <is>
          <t>OPSW-0760</t>
        </is>
      </c>
    </row>
    <row r="35" ht="30" customHeight="1">
      <c r="A35" s="29" t="inlineStr">
        <is>
          <t>Registrants</t>
        </is>
      </c>
      <c r="B35" s="37" t="n"/>
      <c r="C35" s="31" t="inlineStr">
        <is>
          <t>count</t>
        </is>
      </c>
      <c r="D35" s="31" t="inlineStr">
        <is>
          <t>AGGREGATED</t>
        </is>
      </c>
      <c r="E35" s="32" t="inlineStr">
        <is>
          <t>Preferring real events when present</t>
        </is>
      </c>
      <c r="F35" s="32" t="inlineStr">
        <is>
          <t>webinar_metrics.registered or webinar_events (event_type='registered') — webinar-analytics.ts:38</t>
        </is>
      </c>
      <c r="G35" s="32" t="inlineStr">
        <is>
          <t>Selected date range</t>
        </is>
      </c>
      <c r="H35" s="40" t="inlineStr">
        <is>
          <t>NEEDS INTEGRATION</t>
        </is>
      </c>
      <c r="I35" s="33" t="inlineStr">
        <is>
          <t>OPSW-0761</t>
        </is>
      </c>
    </row>
    <row r="36" ht="30" customHeight="1">
      <c r="A36" s="23" t="inlineStr">
        <is>
          <t>Show up rate</t>
        </is>
      </c>
      <c r="B36" s="39" t="n"/>
      <c r="C36" s="25" t="inlineStr">
        <is>
          <t>%</t>
        </is>
      </c>
      <c r="D36" s="25" t="inlineStr">
        <is>
          <t>DERIVED</t>
        </is>
      </c>
      <c r="E36" s="26" t="inlineStr">
        <is>
          <t>liveAttendees/registered</t>
        </is>
      </c>
      <c r="F36" s="26" t="inlineStr">
        <is>
          <t>Same as OPSW-0739</t>
        </is>
      </c>
      <c r="G36" s="26" t="inlineStr">
        <is>
          <t>Selected date range</t>
        </is>
      </c>
      <c r="H36" s="40" t="inlineStr">
        <is>
          <t>NEEDS INTEGRATION</t>
        </is>
      </c>
      <c r="I36" s="28" t="inlineStr">
        <is>
          <t>OPSW-0762</t>
        </is>
      </c>
    </row>
    <row r="37" ht="30" customHeight="1">
      <c r="A37" s="29" t="inlineStr">
        <is>
          <t>Live attendees</t>
        </is>
      </c>
      <c r="B37" s="37" t="n"/>
      <c r="C37" s="31" t="inlineStr">
        <is>
          <t>count</t>
        </is>
      </c>
      <c r="D37" s="31" t="inlineStr">
        <is>
          <t>AGGREGATED</t>
        </is>
      </c>
      <c r="E37" s="32" t="inlineStr">
        <is>
          <t>Same formula as 0738</t>
        </is>
      </c>
      <c r="F37" s="32" t="inlineStr">
        <is>
          <t>Same as 0738's liveAttendees</t>
        </is>
      </c>
      <c r="G37" s="32" t="inlineStr">
        <is>
          <t>Selected date range</t>
        </is>
      </c>
      <c r="H37" s="40" t="inlineStr">
        <is>
          <t>NEEDS INTEGRATION</t>
        </is>
      </c>
      <c r="I37" s="33" t="inlineStr">
        <is>
          <t>OPSW-0763</t>
        </is>
      </c>
    </row>
    <row r="38" ht="30" customHeight="1">
      <c r="A38" s="23" t="inlineStr">
        <is>
          <t>Replay share</t>
        </is>
      </c>
      <c r="B38" s="39" t="n"/>
      <c r="C38" s="25" t="inlineStr">
        <is>
          <t>%</t>
        </is>
      </c>
      <c r="D38" s="25" t="inlineStr">
        <is>
          <t>DERIVED</t>
        </is>
      </c>
      <c r="E38" s="26" t="inlineStr">
        <is>
          <t>replayAttendees / registered — replayAttendees itself only populates when a 'replay' point exists in the event-derived retention curve</t>
        </is>
      </c>
      <c r="F38" s="26" t="inlineStr">
        <is>
          <t>retention array (retentionCurve/retentionFromEvents, webinar-events.ts:227-258) — webinar-analytics.tsx:732-735,916-919</t>
        </is>
      </c>
      <c r="G38" s="26" t="inlineStr">
        <is>
          <t>Selected date range</t>
        </is>
      </c>
      <c r="H38" s="40" t="inlineStr">
        <is>
          <t>NEEDS INTEGRATION</t>
        </is>
      </c>
      <c r="I38" s="28" t="inlineStr">
        <is>
          <t>OPSW-0764</t>
        </is>
      </c>
    </row>
    <row r="39" ht="30" customHeight="1">
      <c r="A39" s="29" t="inlineStr">
        <is>
          <t>Replay attendees</t>
        </is>
      </c>
      <c r="B39" s="37" t="n"/>
      <c r="C39" s="31" t="inlineStr">
        <is>
          <t>count</t>
        </is>
      </c>
      <c r="D39" s="31" t="inlineStr">
        <is>
          <t>RAW</t>
        </is>
      </c>
      <c r="E39" s="32" t="inlineStr">
        <is>
          <t>Same lookup as 0764 — always null per the note above (no 'replay' label ever emitted by retentionFromEvents)</t>
        </is>
      </c>
      <c r="F39" s="32" t="inlineStr">
        <is>
          <t>Same as 0764</t>
        </is>
      </c>
      <c r="G39" s="32" t="inlineStr">
        <is>
          <t>Selected date range</t>
        </is>
      </c>
      <c r="H39" s="36" t="inlineStr">
        <is>
          <t>NOT AVAILABLE</t>
        </is>
      </c>
      <c r="I39" s="33" t="inlineStr">
        <is>
          <t>OPSW-0765</t>
        </is>
      </c>
    </row>
    <row r="40" ht="6" customHeight="1"/>
    <row r="41" ht="20" customHeight="1">
      <c r="A41" s="22" t="inlineStr">
        <is>
          <t>KEY METRICS</t>
        </is>
      </c>
    </row>
    <row r="42" ht="30" customHeight="1">
      <c r="A42" s="23" t="inlineStr">
        <is>
          <t>Live attendees</t>
        </is>
      </c>
      <c r="B42" s="37" t="n"/>
      <c r="C42" s="25" t="inlineStr">
        <is>
          <t>count</t>
        </is>
      </c>
      <c r="D42" s="25" t="inlineStr">
        <is>
          <t>AGGREGATED</t>
        </is>
      </c>
      <c r="E42" s="26" t="inlineStr">
        <is>
          <t>Same formula</t>
        </is>
      </c>
      <c r="F42" s="26" t="inlineStr">
        <is>
          <t>Same liveAttendees as 0738 — webinar-analytics.tsx:744,1024</t>
        </is>
      </c>
      <c r="G42" s="26" t="inlineStr">
        <is>
          <t>Selected date range</t>
        </is>
      </c>
      <c r="H42" s="40" t="inlineStr">
        <is>
          <t>NEEDS INTEGRATION</t>
        </is>
      </c>
      <c r="I42" s="28" t="inlineStr">
        <is>
          <t>OPSW-0766</t>
        </is>
      </c>
    </row>
    <row r="43" ht="30" customHeight="1">
      <c r="A43" s="29" t="inlineStr">
        <is>
          <t>Session length</t>
        </is>
      </c>
      <c r="B43" s="37" t="n"/>
      <c r="C43" s="31" t="inlineStr">
        <is>
          <t>N/A</t>
        </is>
      </c>
      <c r="D43" s="31" t="inlineStr">
        <is>
          <t>PLACEHOLDER</t>
        </is>
      </c>
      <c r="E43" s="32" t="inlineStr">
        <is>
          <t>N/A — no column/derivation exists anywhere in this schema for session length</t>
        </is>
      </c>
      <c r="F43" s="32" t="inlineStr">
        <is>
          <t>None — hardcoded string 'Unavailable', webinar-analytics.tsx:1025</t>
        </is>
      </c>
      <c r="G43" s="32" t="inlineStr">
        <is>
          <t>N/A</t>
        </is>
      </c>
      <c r="H43" s="36" t="inlineStr">
        <is>
          <t>NOT AVAILABLE</t>
        </is>
      </c>
      <c r="I43" s="33" t="inlineStr">
        <is>
          <t>OPSW-0767</t>
        </is>
      </c>
    </row>
    <row r="44" ht="30" customHeight="1">
      <c r="A44" s="23" t="inlineStr">
        <is>
          <t>Avg time on live room</t>
        </is>
      </c>
      <c r="B44" s="37" t="n"/>
      <c r="C44" s="25" t="inlineStr">
        <is>
          <t>N/A</t>
        </is>
      </c>
      <c r="D44" s="25" t="inlineStr">
        <is>
          <t>PLACEHOLDER</t>
        </is>
      </c>
      <c r="E44" s="26" t="inlineStr">
        <is>
          <t>N/A — same gap as 0767</t>
        </is>
      </c>
      <c r="F44" s="26" t="inlineStr">
        <is>
          <t>None — hardcoded 'Unavailable', webinar-analytics.tsx:1026</t>
        </is>
      </c>
      <c r="G44" s="26" t="inlineStr">
        <is>
          <t>N/A</t>
        </is>
      </c>
      <c r="H44" s="36" t="inlineStr">
        <is>
          <t>NOT AVAILABLE</t>
        </is>
      </c>
      <c r="I44" s="28" t="inlineStr">
        <is>
          <t>OPSW-0768</t>
        </is>
      </c>
    </row>
    <row r="45" ht="30" customHeight="1">
      <c r="A45" s="29" t="inlineStr">
        <is>
          <t>Saw full webinar</t>
        </is>
      </c>
      <c r="B45" s="39" t="n"/>
      <c r="C45" s="31" t="inlineStr">
        <is>
          <t>%</t>
        </is>
      </c>
      <c r="D45" s="31" t="inlineStr">
        <is>
          <t>DERIVED</t>
        </is>
      </c>
      <c r="E45" s="32" t="inlineStr">
        <is>
          <t>pitchAttendees / liveAttendees</t>
        </is>
      </c>
      <c r="F45" s="32" t="inlineStr">
        <is>
          <t>summary.webinar.retentionUntilPitch — webinar-analytics.ts:73, webinar-analytics.tsx:1029-1031</t>
        </is>
      </c>
      <c r="G45" s="32" t="inlineStr">
        <is>
          <t>Selected date range</t>
        </is>
      </c>
      <c r="H45" s="40" t="inlineStr">
        <is>
          <t>NEEDS INTEGRATION</t>
        </is>
      </c>
      <c r="I45" s="33" t="inlineStr">
        <is>
          <t>OPSW-0769</t>
        </is>
      </c>
    </row>
    <row r="46" ht="30" customHeight="1">
      <c r="A46" s="23" t="inlineStr">
        <is>
          <t>Sales</t>
        </is>
      </c>
      <c r="B46" s="37" t="n"/>
      <c r="C46" s="25" t="inlineStr">
        <is>
          <t>count</t>
        </is>
      </c>
      <c r="D46" s="25" t="inlineStr">
        <is>
          <t>AGGREGATED</t>
        </is>
      </c>
      <c r="E46" s="26" t="inlineStr">
        <is>
          <t>Same totalSales as used in Revenue/ROAS</t>
        </is>
      </c>
      <c r="F46" s="26" t="inlineStr">
        <is>
          <t>webinar_metrics.sales or webinar_events close/sale count — webinar-analytics.ts:48,100</t>
        </is>
      </c>
      <c r="G46" s="26" t="inlineStr">
        <is>
          <t>Selected date range</t>
        </is>
      </c>
      <c r="H46" s="40" t="inlineStr">
        <is>
          <t>NEEDS INTEGRATION</t>
        </is>
      </c>
      <c r="I46" s="28" t="inlineStr">
        <is>
          <t>OPSW-0770</t>
        </is>
      </c>
    </row>
    <row r="47" ht="30" customHeight="1">
      <c r="A47" s="29" t="inlineStr">
        <is>
          <t>Revenue</t>
        </is>
      </c>
      <c r="B47" s="34" t="n"/>
      <c r="C47" s="31" t="inlineStr">
        <is>
          <t>$</t>
        </is>
      </c>
      <c r="D47" s="31" t="inlineStr">
        <is>
          <t>AGGREGATED</t>
        </is>
      </c>
      <c r="E47" s="32" t="inlineStr">
        <is>
          <t>Same totalRevenueCents</t>
        </is>
      </c>
      <c r="F47" s="32" t="inlineStr">
        <is>
          <t>Same as OPSW-0741</t>
        </is>
      </c>
      <c r="G47" s="32" t="inlineStr">
        <is>
          <t>Selected date range</t>
        </is>
      </c>
      <c r="H47" s="40" t="inlineStr">
        <is>
          <t>NEEDS INTEGRATION</t>
        </is>
      </c>
      <c r="I47" s="33" t="inlineStr">
        <is>
          <t>OPSW-0771</t>
        </is>
      </c>
    </row>
    <row r="48" ht="6" customHeight="1"/>
    <row r="49" ht="20" customHeight="1">
      <c r="A49" s="22" t="inlineStr">
        <is>
          <t>AUDIENCE RETENTION</t>
        </is>
      </c>
    </row>
    <row r="50" ht="30" customHeight="1">
      <c r="A50" s="23" t="inlineStr">
        <is>
          <t>Registered</t>
        </is>
      </c>
      <c r="B50" s="37" t="n"/>
      <c r="C50" s="25" t="inlineStr">
        <is>
          <t>count</t>
        </is>
      </c>
      <c r="D50" s="25" t="inlineStr">
        <is>
          <t>AGGREGATED</t>
        </is>
      </c>
      <c r="E50" s="26" t="inlineStr">
        <is>
          <t>Same formula</t>
        </is>
      </c>
      <c r="F50" s="26" t="inlineStr">
        <is>
          <t>Same as OPSW-0761 — webinar-analytics.tsx:1179</t>
        </is>
      </c>
      <c r="G50" s="26" t="inlineStr">
        <is>
          <t>Selected date range</t>
        </is>
      </c>
      <c r="H50" s="40" t="inlineStr">
        <is>
          <t>NEEDS INTEGRATION</t>
        </is>
      </c>
      <c r="I50" s="28" t="inlineStr">
        <is>
          <t>OPSW-0772</t>
        </is>
      </c>
    </row>
    <row r="51" ht="30" customHeight="1">
      <c r="A51" s="29" t="inlineStr">
        <is>
          <t>Live attendees</t>
        </is>
      </c>
      <c r="B51" s="37" t="n"/>
      <c r="C51" s="31" t="inlineStr">
        <is>
          <t>count</t>
        </is>
      </c>
      <c r="D51" s="31" t="inlineStr">
        <is>
          <t>AGGREGATED</t>
        </is>
      </c>
      <c r="E51" s="32" t="inlineStr">
        <is>
          <t>Same formula</t>
        </is>
      </c>
      <c r="F51" s="32" t="inlineStr">
        <is>
          <t>Same as OPSW-0738 — webinar-analytics.tsx:1180</t>
        </is>
      </c>
      <c r="G51" s="32" t="inlineStr">
        <is>
          <t>Selected date range</t>
        </is>
      </c>
      <c r="H51" s="40" t="inlineStr">
        <is>
          <t>NEEDS INTEGRATION</t>
        </is>
      </c>
      <c r="I51" s="33" t="inlineStr">
        <is>
          <t>OPSW-0773</t>
        </is>
      </c>
    </row>
    <row r="52" ht="30" customHeight="1">
      <c r="A52" s="23" t="inlineStr">
        <is>
          <t>At pitch</t>
        </is>
      </c>
      <c r="B52" s="37" t="n"/>
      <c r="C52" s="25" t="inlineStr">
        <is>
          <t>count</t>
        </is>
      </c>
      <c r="D52" s="25" t="inlineStr">
        <is>
          <t>AGGREGATED</t>
        </is>
      </c>
      <c r="E52" s="26" t="inlineStr">
        <is>
          <t>Same formula</t>
        </is>
      </c>
      <c r="F52" s="26" t="inlineStr">
        <is>
          <t>Same as OPSW-0740 (pitchAttendees) — webinar-analytics.tsx:1181</t>
        </is>
      </c>
      <c r="G52" s="26" t="inlineStr">
        <is>
          <t>Selected date range</t>
        </is>
      </c>
      <c r="H52" s="40" t="inlineStr">
        <is>
          <t>NEEDS INTEGRATION</t>
        </is>
      </c>
      <c r="I52" s="28" t="inlineStr">
        <is>
          <t>OPSW-0774</t>
        </is>
      </c>
    </row>
    <row r="53" ht="30" customHeight="1">
      <c r="A53" s="29" t="inlineStr">
        <is>
          <t>Retention</t>
        </is>
      </c>
      <c r="B53" s="39" t="n"/>
      <c r="C53" s="31" t="inlineStr">
        <is>
          <t>%</t>
        </is>
      </c>
      <c r="D53" s="31" t="inlineStr">
        <is>
          <t>DERIVED</t>
        </is>
      </c>
      <c r="E53" s="32" t="inlineStr">
        <is>
          <t>pitchAttendees / liveAttendees</t>
        </is>
      </c>
      <c r="F53" s="32" t="inlineStr">
        <is>
          <t>Same as OPSW-0769 (retentionUntilPitch) — webinar-analytics.tsx:1182-1186</t>
        </is>
      </c>
      <c r="G53" s="32" t="inlineStr">
        <is>
          <t>Selected date range</t>
        </is>
      </c>
      <c r="H53" s="40" t="inlineStr">
        <is>
          <t>NEEDS INTEGRATION</t>
        </is>
      </c>
      <c r="I53" s="33" t="inlineStr">
        <is>
          <t>OPSW-0775</t>
        </is>
      </c>
    </row>
    <row r="54" ht="6" customHeight="1"/>
    <row r="55" ht="20" customHeight="1">
      <c r="A55" s="22" t="inlineStr">
        <is>
          <t>CLOSING &amp; RETURN</t>
        </is>
      </c>
    </row>
    <row r="56" ht="30" customHeight="1">
      <c r="A56" s="23" t="inlineStr">
        <is>
          <t>Deposits</t>
        </is>
      </c>
      <c r="B56" s="37" t="n"/>
      <c r="C56" s="25" t="inlineStr">
        <is>
          <t>count (given unit=$ is wrong — deposits is a COUNT of deposit events/rows, not a dollar figure)</t>
        </is>
      </c>
      <c r="D56" s="25" t="inlineStr">
        <is>
          <t>AGGREGATED</t>
        </is>
      </c>
      <c r="E56" s="26" t="inlineStr">
        <is>
          <t>Same deposits value used in salesSetting</t>
        </is>
      </c>
      <c r="F56" s="26" t="inlineStr">
        <is>
          <t>webinar_metrics.deposits or webinar_events deposit count — webinar-analytics.ts:47,80, webinar-analytics.tsx:769</t>
        </is>
      </c>
      <c r="G56" s="26" t="inlineStr">
        <is>
          <t>Selected date range</t>
        </is>
      </c>
      <c r="H56" s="40" t="inlineStr">
        <is>
          <t>NEEDS INTEGRATION</t>
        </is>
      </c>
      <c r="I56" s="28" t="inlineStr">
        <is>
          <t>OPSW-0776</t>
        </is>
      </c>
    </row>
    <row r="57" ht="30" customHeight="1">
      <c r="A57" s="29" t="inlineStr">
        <is>
          <t>Sales</t>
        </is>
      </c>
      <c r="B57" s="37" t="n"/>
      <c r="C57" s="31" t="inlineStr">
        <is>
          <t>count</t>
        </is>
      </c>
      <c r="D57" s="31" t="inlineStr">
        <is>
          <t>AGGREGATED</t>
        </is>
      </c>
      <c r="E57" s="32" t="inlineStr">
        <is>
          <t>Same formula</t>
        </is>
      </c>
      <c r="F57" s="32" t="inlineStr">
        <is>
          <t>Same as OPSW-0770 (totalSales) — webinar-analytics.tsx:770</t>
        </is>
      </c>
      <c r="G57" s="32" t="inlineStr">
        <is>
          <t>Selected date range</t>
        </is>
      </c>
      <c r="H57" s="40" t="inlineStr">
        <is>
          <t>NEEDS INTEGRATION</t>
        </is>
      </c>
      <c r="I57" s="33" t="inlineStr">
        <is>
          <t>OPSW-0777</t>
        </is>
      </c>
    </row>
    <row r="58" ht="30" customHeight="1">
      <c r="A58" s="23" t="inlineStr">
        <is>
          <t>Contracted revenue</t>
        </is>
      </c>
      <c r="B58" s="34" t="n"/>
      <c r="C58" s="25" t="inlineStr">
        <is>
          <t>$</t>
        </is>
      </c>
      <c r="D58" s="25" t="inlineStr">
        <is>
          <t>AGGREGATED</t>
        </is>
      </c>
      <c r="E58" s="26" t="inlineStr">
        <is>
          <t>Same formula</t>
        </is>
      </c>
      <c r="F58" s="26" t="inlineStr">
        <is>
          <t>Same as OPSW-0741 (totalRevenueCents) — webinar-analytics.tsx:771</t>
        </is>
      </c>
      <c r="G58" s="26" t="inlineStr">
        <is>
          <t>Selected date range</t>
        </is>
      </c>
      <c r="H58" s="40" t="inlineStr">
        <is>
          <t>NEEDS INTEGRATION</t>
        </is>
      </c>
      <c r="I58" s="28" t="inlineStr">
        <is>
          <t>OPSW-0778</t>
        </is>
      </c>
    </row>
    <row r="59" ht="30" customHeight="1">
      <c r="A59" s="29" t="inlineStr">
        <is>
          <t>Core offer revenue</t>
        </is>
      </c>
      <c r="B59" s="34" t="n"/>
      <c r="C59" s="31" t="inlineStr">
        <is>
          <t>$</t>
        </is>
      </c>
      <c r="D59" s="31" t="inlineStr">
        <is>
          <t>RAW</t>
        </is>
      </c>
      <c r="E59" s="32" t="inlineStr">
        <is>
          <t>sum(core_revenue_cents)</t>
        </is>
      </c>
      <c r="F59" s="32" t="inlineStr">
        <is>
          <t>webinar_metrics.core_revenue_cents — webinar-analytics.tsx:772</t>
        </is>
      </c>
      <c r="G59" s="32" t="inlineStr">
        <is>
          <t>Selected date range</t>
        </is>
      </c>
      <c r="H59" s="40" t="inlineStr">
        <is>
          <t>NEEDS INTEGRATION</t>
        </is>
      </c>
      <c r="I59" s="33" t="inlineStr">
        <is>
          <t>OPSW-0779</t>
        </is>
      </c>
    </row>
    <row r="60" ht="30" customHeight="1">
      <c r="A60" s="23" t="inlineStr">
        <is>
          <t>Refunds</t>
        </is>
      </c>
      <c r="B60" s="34" t="n"/>
      <c r="C60" s="25" t="inlineStr">
        <is>
          <t>$ (given unit=count is wrong)</t>
        </is>
      </c>
      <c r="D60" s="25" t="inlineStr">
        <is>
          <t>RAW</t>
        </is>
      </c>
      <c r="E60" s="26" t="inlineStr">
        <is>
          <t>sum(refunds_cents)</t>
        </is>
      </c>
      <c r="F60" s="26" t="inlineStr">
        <is>
          <t>webinar_metrics.refunds_cents — webinar-analytics.tsx:773</t>
        </is>
      </c>
      <c r="G60" s="26" t="inlineStr">
        <is>
          <t>Selected date range</t>
        </is>
      </c>
      <c r="H60" s="40" t="inlineStr">
        <is>
          <t>NEEDS INTEGRATION</t>
        </is>
      </c>
      <c r="I60" s="28" t="inlineStr">
        <is>
          <t>OPSW-0780</t>
        </is>
      </c>
    </row>
    <row r="61" ht="30" customHeight="1">
      <c r="A61" s="29" t="inlineStr">
        <is>
          <t>Order bump revenue</t>
        </is>
      </c>
      <c r="B61" s="34" t="n"/>
      <c r="C61" s="31" t="inlineStr">
        <is>
          <t>$</t>
        </is>
      </c>
      <c r="D61" s="31" t="inlineStr">
        <is>
          <t>RAW</t>
        </is>
      </c>
      <c r="E61" s="32" t="inlineStr">
        <is>
          <t>sum(order_bump_revenue_cents)</t>
        </is>
      </c>
      <c r="F61" s="32" t="inlineStr">
        <is>
          <t>webinar_metrics.order_bump_revenue_cents — webinar-analytics.tsx:774</t>
        </is>
      </c>
      <c r="G61" s="32" t="inlineStr">
        <is>
          <t>Selected date range</t>
        </is>
      </c>
      <c r="H61" s="40" t="inlineStr">
        <is>
          <t>NEEDS INTEGRATION</t>
        </is>
      </c>
      <c r="I61" s="33" t="inlineStr">
        <is>
          <t>OPSW-0781</t>
        </is>
      </c>
    </row>
    <row r="62" ht="30" customHeight="1">
      <c r="A62" s="23" t="inlineStr">
        <is>
          <t>Upsell revenue</t>
        </is>
      </c>
      <c r="B62" s="34" t="n"/>
      <c r="C62" s="25" t="inlineStr">
        <is>
          <t>$</t>
        </is>
      </c>
      <c r="D62" s="25" t="inlineStr">
        <is>
          <t>RAW</t>
        </is>
      </c>
      <c r="E62" s="26" t="inlineStr">
        <is>
          <t>sum(upsell_revenue_cents)</t>
        </is>
      </c>
      <c r="F62" s="26" t="inlineStr">
        <is>
          <t>webinar_metrics.upsell_revenue_cents — webinar-analytics.tsx:775</t>
        </is>
      </c>
      <c r="G62" s="26" t="inlineStr">
        <is>
          <t>Selected date range</t>
        </is>
      </c>
      <c r="H62" s="40" t="inlineStr">
        <is>
          <t>NEEDS INTEGRATION</t>
        </is>
      </c>
      <c r="I62" s="28" t="inlineStr">
        <is>
          <t>OPSW-0782</t>
        </is>
      </c>
    </row>
    <row r="63" ht="30" customHeight="1">
      <c r="A63" s="29" t="inlineStr">
        <is>
          <t>ROAS</t>
        </is>
      </c>
      <c r="B63" s="37" t="n"/>
      <c r="C63" s="31" t="inlineStr">
        <is>
          <t>x</t>
        </is>
      </c>
      <c r="D63" s="31" t="inlineStr">
        <is>
          <t>DERIVED</t>
        </is>
      </c>
      <c r="E63" s="32" t="inlineStr">
        <is>
          <t>Same formula (core+bump+upsell revenue / spend)</t>
        </is>
      </c>
      <c r="F63" s="32" t="inlineStr">
        <is>
          <t>Same as OPSW-0746 — webinar-analytics.tsx:776-783</t>
        </is>
      </c>
      <c r="G63" s="32" t="inlineStr">
        <is>
          <t>Selected date range</t>
        </is>
      </c>
      <c r="H63" s="40" t="inlineStr">
        <is>
          <t>NEEDS INTEGRATION</t>
        </is>
      </c>
      <c r="I63" s="33" t="inlineStr">
        <is>
          <t>OPSW-0783</t>
        </is>
      </c>
    </row>
    <row r="64" ht="30" customHeight="1">
      <c r="A64" s="23" t="inlineStr">
        <is>
          <t>Net profit</t>
        </is>
      </c>
      <c r="B64" s="34" t="n"/>
      <c r="C64" s="25" t="inlineStr">
        <is>
          <t>$ (given unit=count is wrong)</t>
        </is>
      </c>
      <c r="D64" s="25" t="inlineStr">
        <is>
          <t>RAW</t>
        </is>
      </c>
      <c r="E64" s="26" t="inlineStr">
        <is>
          <t>coreRevenueCents - attributableCostsCents (cashCollectedCents explicitly left null — see note)</t>
        </is>
      </c>
      <c r="F64" s="26" t="inlineStr">
        <is>
          <t>src/lib/operating-workflows.ts webinarProfit() — webinar-analytics.tsx:301-315,784-789</t>
        </is>
      </c>
      <c r="G64" s="26" t="inlineStr">
        <is>
          <t>Selected date range</t>
        </is>
      </c>
      <c r="H64" s="40" t="inlineStr">
        <is>
          <t>NEEDS INTEGRATION</t>
        </is>
      </c>
      <c r="I64" s="28" t="inlineStr">
        <is>
          <t>OPSW-0784</t>
        </is>
      </c>
    </row>
    <row r="65" ht="6" customHeight="1"/>
    <row r="66" ht="20" customHeight="1">
      <c r="A66" s="22" t="inlineStr">
        <is>
          <t>DURING/AFTER PITCH</t>
        </is>
      </c>
    </row>
    <row r="67" ht="30" customHeight="1">
      <c r="A67" s="29" t="inlineStr">
        <is>
          <t>During-pitch sales/revenue</t>
        </is>
      </c>
      <c r="B67" s="37" t="n"/>
      <c r="C67" s="31" t="inlineStr">
        <is>
          <t>count + $ (null when 0 of N sale events carry an amount)</t>
        </is>
      </c>
      <c r="D67" s="31" t="inlineStr">
        <is>
          <t>DERIVED</t>
        </is>
      </c>
      <c r="E67" s="32" t="inlineStr">
        <is>
          <t>close/sale events with no prior booked_call event for that lead_id; revenue only summed from events whose metadata.amount_cents is present</t>
        </is>
      </c>
      <c r="F67" s="32" t="inlineStr">
        <is>
          <t>src/lib/webinar-events.ts:133-225 splitPitchOutcomes() — webinar-analytics.tsx:796-802</t>
        </is>
      </c>
      <c r="G67" s="32" t="inlineStr">
        <is>
          <t>Selected date range</t>
        </is>
      </c>
      <c r="H67" s="40" t="inlineStr">
        <is>
          <t>NEEDS INTEGRATION</t>
        </is>
      </c>
      <c r="I67" s="33" t="inlineStr">
        <is>
          <t>OPSW-0785</t>
        </is>
      </c>
    </row>
    <row r="68" ht="30" customHeight="1">
      <c r="A68" s="23" t="inlineStr">
        <is>
          <t>After-pitch sales/revenue</t>
        </is>
      </c>
      <c r="B68" s="37" t="n"/>
      <c r="C68" s="25" t="inlineStr">
        <is>
          <t>count + $ (same null-honesty rule)</t>
        </is>
      </c>
      <c r="D68" s="25" t="inlineStr">
        <is>
          <t>DERIVED</t>
        </is>
      </c>
      <c r="E68" s="26" t="inlineStr">
        <is>
          <t>close/sale events WITH a prior booked_call event for that lead</t>
        </is>
      </c>
      <c r="F68" s="26" t="inlineStr">
        <is>
          <t>Same as 0785</t>
        </is>
      </c>
      <c r="G68" s="26" t="inlineStr">
        <is>
          <t>Selected date range</t>
        </is>
      </c>
      <c r="H68" s="40" t="inlineStr">
        <is>
          <t>NEEDS INTEGRATION</t>
        </is>
      </c>
      <c r="I68" s="28" t="inlineStr">
        <is>
          <t>OPSW-0786</t>
        </is>
      </c>
    </row>
    <row r="69" ht="30" customHeight="1">
      <c r="A69" s="29" t="inlineStr">
        <is>
          <t>After-pitch conversion</t>
        </is>
      </c>
      <c r="B69" s="39" t="n"/>
      <c r="C69" s="31" t="inlineStr">
        <is>
          <t>%</t>
        </is>
      </c>
      <c r="D69" s="31" t="inlineStr">
        <is>
          <t>DERIVED</t>
        </is>
      </c>
      <c r="E69" s="32" t="inlineStr">
        <is>
          <t>afterPitchSales / (afterPitchSales+duringPitchSales)</t>
        </is>
      </c>
      <c r="F69" s="32" t="inlineStr">
        <is>
          <t>webinar-events.ts splitPitchOutcomes() — webinar-analytics.tsx:810-815</t>
        </is>
      </c>
      <c r="G69" s="32" t="inlineStr">
        <is>
          <t>Selected date range</t>
        </is>
      </c>
      <c r="H69" s="40" t="inlineStr">
        <is>
          <t>NEEDS INTEGRATION</t>
        </is>
      </c>
      <c r="I69" s="33" t="inlineStr">
        <is>
          <t>OPSW-0787</t>
        </is>
      </c>
    </row>
    <row r="70" ht="30" customHeight="1">
      <c r="A70" s="23" t="inlineStr">
        <is>
          <t>Unclassified sales/revenue</t>
        </is>
      </c>
      <c r="B70" s="37" t="n"/>
      <c r="C70" s="25" t="inlineStr">
        <is>
          <t>count + $ (null-honesty rule)</t>
        </is>
      </c>
      <c r="D70" s="25" t="inlineStr">
        <is>
          <t>DERIVED</t>
        </is>
      </c>
      <c r="E70" s="26" t="inlineStr">
        <is>
          <t>Counted separately rather than guessed as during- or after-pitch</t>
        </is>
      </c>
      <c r="F70" s="26" t="inlineStr">
        <is>
          <t>Same as 0785 (unclassifiedSales — close/sale events with NO lead_id at all)</t>
        </is>
      </c>
      <c r="G70" s="26" t="inlineStr">
        <is>
          <t>Selected date range</t>
        </is>
      </c>
      <c r="H70" s="40" t="inlineStr">
        <is>
          <t>NEEDS INTEGRATION</t>
        </is>
      </c>
      <c r="I70" s="28" t="inlineStr">
        <is>
          <t>OPSW-0788</t>
        </is>
      </c>
    </row>
    <row r="71" ht="6" customHeight="1"/>
    <row r="72" ht="20" customHeight="1">
      <c r="A72" s="22" t="inlineStr">
        <is>
          <t>COMPARE WEBINARS TABLE</t>
        </is>
      </c>
    </row>
    <row r="73" ht="30" customHeight="1">
      <c r="A73" s="29" t="inlineStr">
        <is>
          <t>Paid/Organic/Total leads</t>
        </is>
      </c>
      <c r="B73" s="37" t="n"/>
      <c r="C73" s="31" t="inlineStr">
        <is>
          <t>count</t>
        </is>
      </c>
      <c r="D73" s="31" t="inlineStr">
        <is>
          <t>AGGREGATED</t>
        </is>
      </c>
      <c r="E73" s="32" t="inlineStr">
        <is>
          <t>Same paidLeads/organicLeads/totalLeads formulas as 0755-0757, computed for 2 webinars side by side</t>
        </is>
      </c>
      <c r="F73" s="32" t="inlineStr">
        <is>
          <t>ComparisonPanel (webinar-analytics.tsx:1201-1350), fed by compareWebinars() — webinar-analytics.ts:113-123, requires picking a 2nd real webinar from the org's own list</t>
        </is>
      </c>
      <c r="G73" s="32" t="inlineStr">
        <is>
          <t>Selected date range (both sides)</t>
        </is>
      </c>
      <c r="H73" s="40" t="inlineStr">
        <is>
          <t>NEEDS INTEGRATION</t>
        </is>
      </c>
      <c r="I73" s="33" t="inlineStr">
        <is>
          <t>OPSW-0789</t>
        </is>
      </c>
    </row>
    <row r="74" ht="30" customHeight="1">
      <c r="A74" s="23" t="inlineStr">
        <is>
          <t>Capture conversion</t>
        </is>
      </c>
      <c r="B74" s="39" t="n"/>
      <c r="C74" s="25" t="inlineStr">
        <is>
          <t>%</t>
        </is>
      </c>
      <c r="D74" s="25" t="inlineStr">
        <is>
          <t>DERIVED</t>
        </is>
      </c>
      <c r="E74" s="26" t="inlineStr">
        <is>
          <t>totalLeads / paidVisits (aggregateWebinarMetrics capture.conversionRate)</t>
        </is>
      </c>
      <c r="F74" s="26" t="inlineStr">
        <is>
          <t>Same ComparisonPanel — webinar-analytics.tsx:1240-1249</t>
        </is>
      </c>
      <c r="G74" s="26" t="inlineStr">
        <is>
          <t>Selected date range</t>
        </is>
      </c>
      <c r="H74" s="40" t="inlineStr">
        <is>
          <t>NEEDS INTEGRATION</t>
        </is>
      </c>
      <c r="I74" s="28" t="inlineStr">
        <is>
          <t>OPSW-0790</t>
        </is>
      </c>
    </row>
    <row r="75" ht="30" customHeight="1">
      <c r="A75" s="29" t="inlineStr">
        <is>
          <t>Show-up rate</t>
        </is>
      </c>
      <c r="B75" s="39" t="n"/>
      <c r="C75" s="31" t="inlineStr">
        <is>
          <t>%</t>
        </is>
      </c>
      <c r="D75" s="31" t="inlineStr">
        <is>
          <t>DERIVED</t>
        </is>
      </c>
      <c r="E75" s="32" t="inlineStr">
        <is>
          <t>Same as OPSW-0739</t>
        </is>
      </c>
      <c r="F75" s="32" t="inlineStr">
        <is>
          <t>Same ComparisonPanel — webinar-analytics.tsx:1250-1260</t>
        </is>
      </c>
      <c r="G75" s="32" t="inlineStr">
        <is>
          <t>Selected date range</t>
        </is>
      </c>
      <c r="H75" s="40" t="inlineStr">
        <is>
          <t>NEEDS INTEGRATION</t>
        </is>
      </c>
      <c r="I75" s="33" t="inlineStr">
        <is>
          <t>OPSW-0791</t>
        </is>
      </c>
    </row>
    <row r="76" ht="30" customHeight="1">
      <c r="A76" s="23" t="inlineStr">
        <is>
          <t>Live attendees</t>
        </is>
      </c>
      <c r="B76" s="37" t="n"/>
      <c r="C76" s="25" t="inlineStr">
        <is>
          <t>count</t>
        </is>
      </c>
      <c r="D76" s="25" t="inlineStr">
        <is>
          <t>AGGREGATED</t>
        </is>
      </c>
      <c r="E76" s="26" t="inlineStr">
        <is>
          <t>Same as 0738</t>
        </is>
      </c>
      <c r="F76" s="26" t="inlineStr">
        <is>
          <t>Same ComparisonPanel — webinar-analytics.tsx:1261-1267</t>
        </is>
      </c>
      <c r="G76" s="26" t="inlineStr">
        <is>
          <t>Selected date range</t>
        </is>
      </c>
      <c r="H76" s="40" t="inlineStr">
        <is>
          <t>NEEDS INTEGRATION</t>
        </is>
      </c>
      <c r="I76" s="28" t="inlineStr">
        <is>
          <t>OPSW-0792</t>
        </is>
      </c>
    </row>
    <row r="77" ht="30" customHeight="1">
      <c r="A77" s="29" t="inlineStr">
        <is>
          <t>Pitch attendees</t>
        </is>
      </c>
      <c r="B77" s="37" t="n"/>
      <c r="C77" s="31" t="inlineStr">
        <is>
          <t>count</t>
        </is>
      </c>
      <c r="D77" s="31" t="inlineStr">
        <is>
          <t>AGGREGATED</t>
        </is>
      </c>
      <c r="E77" s="32" t="inlineStr">
        <is>
          <t>Same as 0740</t>
        </is>
      </c>
      <c r="F77" s="32" t="inlineStr">
        <is>
          <t>Same ComparisonPanel — webinar-analytics.tsx:1268-1274</t>
        </is>
      </c>
      <c r="G77" s="32" t="inlineStr">
        <is>
          <t>Selected date range</t>
        </is>
      </c>
      <c r="H77" s="40" t="inlineStr">
        <is>
          <t>NEEDS INTEGRATION</t>
        </is>
      </c>
      <c r="I77" s="33" t="inlineStr">
        <is>
          <t>OPSW-0793</t>
        </is>
      </c>
    </row>
    <row r="78" ht="30" customHeight="1">
      <c r="A78" s="23" t="inlineStr">
        <is>
          <t>Deposits</t>
        </is>
      </c>
      <c r="B78" s="37" t="n"/>
      <c r="C78" s="25" t="inlineStr">
        <is>
          <t>count (given unit=$ is wrong — see 0776)</t>
        </is>
      </c>
      <c r="D78" s="25" t="inlineStr">
        <is>
          <t>AGGREGATED</t>
        </is>
      </c>
      <c r="E78" s="26" t="inlineStr">
        <is>
          <t>Same as 0776</t>
        </is>
      </c>
      <c r="F78" s="26" t="inlineStr">
        <is>
          <t>Same ComparisonPanel — webinar-analytics.tsx:1275-1281</t>
        </is>
      </c>
      <c r="G78" s="26" t="inlineStr">
        <is>
          <t>Selected date range</t>
        </is>
      </c>
      <c r="H78" s="40" t="inlineStr">
        <is>
          <t>NEEDS INTEGRATION</t>
        </is>
      </c>
      <c r="I78" s="28" t="inlineStr">
        <is>
          <t>OPSW-0794</t>
        </is>
      </c>
    </row>
    <row r="79" ht="30" customHeight="1">
      <c r="A79" s="29" t="inlineStr">
        <is>
          <t>Total sales</t>
        </is>
      </c>
      <c r="B79" s="37" t="n"/>
      <c r="C79" s="31" t="inlineStr">
        <is>
          <t>count</t>
        </is>
      </c>
      <c r="D79" s="31" t="inlineStr">
        <is>
          <t>AGGREGATED</t>
        </is>
      </c>
      <c r="E79" s="32" t="inlineStr">
        <is>
          <t>Same as OPSW-0770</t>
        </is>
      </c>
      <c r="F79" s="32" t="inlineStr">
        <is>
          <t>Same ComparisonPanel — webinar-analytics.tsx:1282-1288</t>
        </is>
      </c>
      <c r="G79" s="32" t="inlineStr">
        <is>
          <t>Selected date range</t>
        </is>
      </c>
      <c r="H79" s="40" t="inlineStr">
        <is>
          <t>NEEDS INTEGRATION</t>
        </is>
      </c>
      <c r="I79" s="33" t="inlineStr">
        <is>
          <t>OPSW-0795</t>
        </is>
      </c>
    </row>
    <row r="80" ht="30" customHeight="1">
      <c r="A80" s="23" t="inlineStr">
        <is>
          <t>Revenue</t>
        </is>
      </c>
      <c r="B80" s="34" t="n"/>
      <c r="C80" s="25" t="inlineStr">
        <is>
          <t>$</t>
        </is>
      </c>
      <c r="D80" s="25" t="inlineStr">
        <is>
          <t>AGGREGATED</t>
        </is>
      </c>
      <c r="E80" s="26" t="inlineStr">
        <is>
          <t>Same as OPSW-0741</t>
        </is>
      </c>
      <c r="F80" s="26" t="inlineStr">
        <is>
          <t>Same ComparisonPanel — webinar-analytics.tsx:1289-1295</t>
        </is>
      </c>
      <c r="G80" s="26" t="inlineStr">
        <is>
          <t>Selected date range</t>
        </is>
      </c>
      <c r="H80" s="40" t="inlineStr">
        <is>
          <t>NEEDS INTEGRATION</t>
        </is>
      </c>
      <c r="I80" s="28" t="inlineStr">
        <is>
          <t>OPSW-0796</t>
        </is>
      </c>
    </row>
    <row r="81" ht="30" customHeight="1">
      <c r="A81" s="29" t="inlineStr">
        <is>
          <t>ROAS</t>
        </is>
      </c>
      <c r="B81" s="37" t="n"/>
      <c r="C81" s="31" t="inlineStr">
        <is>
          <t>x</t>
        </is>
      </c>
      <c r="D81" s="31" t="inlineStr">
        <is>
          <t>DERIVED</t>
        </is>
      </c>
      <c r="E81" s="32" t="inlineStr">
        <is>
          <t>Same formula as OPSW-0746</t>
        </is>
      </c>
      <c r="F81" s="32" t="inlineStr">
        <is>
          <t>Same ComparisonPanel — webinar-analytics.tsx:1296-1310</t>
        </is>
      </c>
      <c r="G81" s="32" t="inlineStr">
        <is>
          <t>Selected date range</t>
        </is>
      </c>
      <c r="H81" s="40" t="inlineStr">
        <is>
          <t>NEEDS INTEGRATION</t>
        </is>
      </c>
      <c r="I81" s="33" t="inlineStr">
        <is>
          <t>OPSW-0797</t>
        </is>
      </c>
    </row>
    <row r="82" ht="6" customHeight="1"/>
  </sheetData>
  <autoFilter ref="A4:I81"/>
  <mergeCells count="9">
    <mergeCell ref="A41:I41"/>
    <mergeCell ref="A49:I49"/>
    <mergeCell ref="A5:I5"/>
    <mergeCell ref="A32:I32"/>
    <mergeCell ref="A66:I66"/>
    <mergeCell ref="A55:I55"/>
    <mergeCell ref="A26:I26"/>
    <mergeCell ref="A16:I16"/>
    <mergeCell ref="A72:I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2026-09-24T00:06:09Z</dcterms:created>
  <dcterms:modified xmlns:dcterms="http://purl.org/dc/terms/" xmlns:xsi="http://www.w3.org/2001/XMLSchema-instance" xsi:type="dcterms:W3CDTF">2026-09-24T00:06:09Z</dcterms:modified>
</cp:coreProperties>
</file>